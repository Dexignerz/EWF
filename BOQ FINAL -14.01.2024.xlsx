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66925"/>
  <mc:AlternateContent xmlns:mc="http://schemas.openxmlformats.org/markup-compatibility/2006">
    <mc:Choice Requires="x15">
      <x15ac:absPath xmlns:x15ac="http://schemas.microsoft.com/office/spreadsheetml/2010/11/ac" url="C:\EWF\HALANIYAT PROJECT\Bidding Docs\"/>
    </mc:Choice>
  </mc:AlternateContent>
  <xr:revisionPtr revIDLastSave="0" documentId="13_ncr:1_{27E98DB9-3243-4B2F-8966-CC8665C5C22E}" xr6:coauthVersionLast="47" xr6:coauthVersionMax="47" xr10:uidLastSave="{00000000-0000-0000-0000-000000000000}"/>
  <bookViews>
    <workbookView xWindow="-120" yWindow="-120" windowWidth="29040" windowHeight="15720" tabRatio="704" activeTab="7" xr2:uid="{00000000-000D-0000-FFFF-FFFF00000000}"/>
  </bookViews>
  <sheets>
    <sheet name="01 Preliminaries" sheetId="1" r:id="rId1"/>
    <sheet name="02 Dayworks" sheetId="2" r:id="rId2"/>
    <sheet name="03 Housing Units" sheetId="3" r:id="rId3"/>
    <sheet name="04  External Works" sheetId="4" r:id="rId4"/>
    <sheet name="05 Existing Housing Units-29" sheetId="5" r:id="rId5"/>
    <sheet name="06 Storm Water" sheetId="6" r:id="rId6"/>
    <sheet name="07  Housing Units 3 Nos" sheetId="12" r:id="rId7"/>
    <sheet name="Grand Summary" sheetId="9" r:id="rId8"/>
    <sheet name="Sheet1" sheetId="10" r:id="rId9"/>
  </sheets>
  <externalReferences>
    <externalReference r:id="rId10"/>
  </externalReferences>
  <definedNames>
    <definedName name="_xlnm._FilterDatabase" localSheetId="0" hidden="1">'01 Preliminaries'!$A$1:$H$117</definedName>
    <definedName name="_xlnm._FilterDatabase" localSheetId="4" hidden="1">'05 Existing Housing Units-29'!$H$1:$H$92</definedName>
    <definedName name="_xlnm.Print_Area" localSheetId="0">'01 Preliminaries'!$A$1:$H$117</definedName>
    <definedName name="_xlnm.Print_Area" localSheetId="1">'02 Dayworks'!$1:$116</definedName>
    <definedName name="_xlnm.Print_Area" localSheetId="2">'03 Housing Units'!$1:$298</definedName>
    <definedName name="_xlnm.Print_Area" localSheetId="3">'04  External Works'!$1:$13</definedName>
    <definedName name="_xlnm.Print_Titles" localSheetId="0">'01 Preliminaries'!$1:$1</definedName>
    <definedName name="_xlnm.Print_Titles" localSheetId="1">'02 Dayworks'!$1:$1</definedName>
    <definedName name="_xlnm.Print_Titles" localSheetId="2">'03 Housing Units'!$1:$1</definedName>
    <definedName name="_xlnm.Print_Titles" localSheetId="3">'04  External Works'!$1:$1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3" l="1"/>
  <c r="I110" i="3"/>
  <c r="AA21" i="5"/>
  <c r="AA3" i="5"/>
  <c r="I26" i="6"/>
  <c r="I2" i="6"/>
  <c r="AA35" i="5"/>
  <c r="AA50" i="5"/>
  <c r="AA62" i="5"/>
  <c r="AA57" i="5"/>
  <c r="H21" i="5"/>
  <c r="AA19" i="5"/>
  <c r="AA16" i="5"/>
  <c r="AA2" i="5"/>
  <c r="I125" i="3"/>
  <c r="I269" i="3"/>
  <c r="I99" i="3"/>
  <c r="I91" i="3"/>
  <c r="I83" i="3"/>
  <c r="I81" i="3"/>
  <c r="I71" i="3"/>
  <c r="I72" i="3"/>
  <c r="I70" i="3"/>
  <c r="H68" i="3"/>
  <c r="I61" i="3"/>
  <c r="I62" i="3"/>
  <c r="I49" i="3"/>
  <c r="I48" i="3"/>
  <c r="I45" i="3"/>
  <c r="I32" i="3"/>
  <c r="I31" i="3"/>
  <c r="I30" i="3"/>
  <c r="I27" i="3"/>
  <c r="I157" i="3"/>
  <c r="I165" i="3"/>
  <c r="I176" i="3"/>
  <c r="I11" i="6"/>
  <c r="H15" i="6"/>
  <c r="I1" i="3"/>
  <c r="H17" i="3"/>
  <c r="J18" i="3"/>
  <c r="I8" i="3"/>
  <c r="H30" i="12"/>
  <c r="H31" i="12"/>
  <c r="H32" i="12"/>
  <c r="H33" i="12"/>
  <c r="H34" i="12"/>
  <c r="H35" i="12"/>
  <c r="H36" i="12"/>
  <c r="H37" i="12"/>
  <c r="H38" i="12"/>
  <c r="H39" i="12"/>
  <c r="H40" i="12"/>
  <c r="H41" i="12"/>
  <c r="H42" i="12"/>
  <c r="H43" i="12"/>
  <c r="H44" i="12"/>
  <c r="H45" i="12"/>
  <c r="H46" i="12"/>
  <c r="H47" i="12"/>
  <c r="H48" i="12"/>
  <c r="H49" i="12"/>
  <c r="H50" i="12"/>
  <c r="H51" i="12"/>
  <c r="H52" i="12"/>
  <c r="I101" i="12" s="1"/>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9" i="12"/>
  <c r="H28" i="12"/>
  <c r="H27" i="12"/>
  <c r="H26" i="12"/>
  <c r="H25" i="12"/>
  <c r="H24" i="12"/>
  <c r="H23" i="12"/>
  <c r="H22" i="12"/>
  <c r="H21" i="12"/>
  <c r="H20" i="12"/>
  <c r="H19" i="12"/>
  <c r="H18" i="12"/>
  <c r="H17" i="12"/>
  <c r="H16" i="12"/>
  <c r="H15" i="12"/>
  <c r="H14" i="12"/>
  <c r="H13" i="12"/>
  <c r="H12" i="12"/>
  <c r="H11" i="12"/>
  <c r="H10" i="12"/>
  <c r="H9" i="12"/>
  <c r="H8" i="12"/>
  <c r="H7" i="12"/>
  <c r="H6" i="12"/>
  <c r="H5" i="12"/>
  <c r="H4" i="12"/>
  <c r="H3" i="12"/>
  <c r="H2" i="12"/>
  <c r="I51" i="12" s="1"/>
  <c r="I151" i="12" l="1"/>
  <c r="I201" i="12"/>
  <c r="I230" i="12"/>
  <c r="H231" i="12"/>
  <c r="H232" i="12" l="1"/>
  <c r="C13" i="9" s="1"/>
  <c r="E22" i="10" l="1"/>
  <c r="E23" i="10" s="1"/>
  <c r="H3" i="3" l="1"/>
  <c r="H4" i="3"/>
  <c r="H5" i="3"/>
  <c r="H6" i="3"/>
  <c r="H7" i="3"/>
  <c r="H8" i="3"/>
  <c r="H9" i="3"/>
  <c r="H11" i="3"/>
  <c r="H12" i="3"/>
  <c r="H13" i="3"/>
  <c r="H14" i="3"/>
  <c r="H15" i="3"/>
  <c r="H18" i="3"/>
  <c r="H19" i="3"/>
  <c r="H20" i="3"/>
  <c r="H21" i="3"/>
  <c r="H22" i="3"/>
  <c r="H24" i="3"/>
  <c r="H25" i="3"/>
  <c r="H27" i="3"/>
  <c r="H28" i="3"/>
  <c r="H29" i="3"/>
  <c r="H30" i="3"/>
  <c r="H31" i="3"/>
  <c r="H33" i="3"/>
  <c r="H34" i="3"/>
  <c r="H35" i="3"/>
  <c r="H36" i="3"/>
  <c r="H37" i="3"/>
  <c r="H38" i="3"/>
  <c r="H39" i="3"/>
  <c r="H42" i="3"/>
  <c r="H43" i="3"/>
  <c r="H44" i="3"/>
  <c r="H45" i="3"/>
  <c r="H46" i="3"/>
  <c r="H47" i="3"/>
  <c r="H48" i="3"/>
  <c r="H49" i="3"/>
  <c r="H50" i="3"/>
  <c r="H51" i="3"/>
  <c r="H52" i="3"/>
  <c r="H53" i="3"/>
  <c r="H56" i="3"/>
  <c r="H57" i="3"/>
  <c r="H58" i="3"/>
  <c r="H59" i="3"/>
  <c r="H60" i="3"/>
  <c r="H62" i="3"/>
  <c r="H63" i="3"/>
  <c r="H64" i="3"/>
  <c r="H65" i="3"/>
  <c r="H66" i="3"/>
  <c r="H67" i="3"/>
  <c r="H69" i="3"/>
  <c r="H70" i="3"/>
  <c r="H71" i="3"/>
  <c r="H72" i="3"/>
  <c r="H77" i="3"/>
  <c r="H78" i="3"/>
  <c r="H81" i="3"/>
  <c r="H83" i="3"/>
  <c r="H84" i="3"/>
  <c r="H86" i="3"/>
  <c r="H87" i="3"/>
  <c r="H88" i="3"/>
  <c r="H89" i="3"/>
  <c r="H90" i="3"/>
  <c r="H91" i="3"/>
  <c r="H92" i="3"/>
  <c r="H93" i="3"/>
  <c r="H94" i="3"/>
  <c r="H95" i="3"/>
  <c r="H96" i="3"/>
  <c r="H97" i="3"/>
  <c r="H98" i="3"/>
  <c r="H99" i="3"/>
  <c r="H103" i="3"/>
  <c r="H105" i="3"/>
  <c r="H108" i="3"/>
  <c r="H109" i="3"/>
  <c r="H110" i="3"/>
  <c r="H111" i="3"/>
  <c r="H112" i="3"/>
  <c r="H114" i="3"/>
  <c r="H115" i="3"/>
  <c r="H116" i="3"/>
  <c r="H118" i="3"/>
  <c r="H119" i="3"/>
  <c r="H120" i="3"/>
  <c r="H121" i="3"/>
  <c r="H123" i="3"/>
  <c r="H124" i="3"/>
  <c r="H125" i="3"/>
  <c r="H127" i="3"/>
  <c r="H129" i="3"/>
  <c r="H132" i="3"/>
  <c r="H139" i="3"/>
  <c r="H140" i="3"/>
  <c r="H141" i="3"/>
  <c r="H142" i="3"/>
  <c r="H143" i="3"/>
  <c r="H146" i="3"/>
  <c r="H147" i="3"/>
  <c r="H148" i="3"/>
  <c r="H149" i="3"/>
  <c r="H150" i="3"/>
  <c r="H151" i="3"/>
  <c r="H152" i="3"/>
  <c r="H153" i="3"/>
  <c r="H154" i="3"/>
  <c r="H155" i="3"/>
  <c r="H156" i="3"/>
  <c r="H157" i="3"/>
  <c r="H158" i="3"/>
  <c r="H159" i="3"/>
  <c r="H160" i="3"/>
  <c r="H161" i="3"/>
  <c r="H162" i="3"/>
  <c r="H163" i="3"/>
  <c r="H164"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3" i="3"/>
  <c r="H234" i="3"/>
  <c r="H235" i="3"/>
  <c r="H236" i="3"/>
  <c r="H237" i="3"/>
  <c r="H238" i="3"/>
  <c r="H239" i="3"/>
  <c r="H240" i="3"/>
  <c r="H241" i="3"/>
  <c r="H242" i="3"/>
  <c r="H244" i="3"/>
  <c r="H245" i="3"/>
  <c r="H246" i="3"/>
  <c r="H247" i="3"/>
  <c r="H248" i="3"/>
  <c r="H249" i="3"/>
  <c r="H250" i="3"/>
  <c r="H251" i="3"/>
  <c r="H252" i="3"/>
  <c r="H254"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55" i="3"/>
  <c r="H16" i="3" l="1"/>
  <c r="H114" i="1"/>
  <c r="H3" i="6" l="1"/>
  <c r="H4" i="6"/>
  <c r="H5" i="6"/>
  <c r="H6" i="6"/>
  <c r="H7" i="6"/>
  <c r="H8" i="6"/>
  <c r="H9" i="6"/>
  <c r="H10" i="6"/>
  <c r="H11" i="6"/>
  <c r="H12" i="6"/>
  <c r="H13" i="6"/>
  <c r="H14"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2" i="6"/>
  <c r="H3" i="5"/>
  <c r="H4" i="5"/>
  <c r="H5" i="5"/>
  <c r="H6" i="5"/>
  <c r="H7" i="5"/>
  <c r="H8" i="5"/>
  <c r="H9" i="5"/>
  <c r="H10" i="5"/>
  <c r="H11" i="5"/>
  <c r="H12" i="5"/>
  <c r="H13" i="5"/>
  <c r="H14" i="5"/>
  <c r="H15" i="5"/>
  <c r="H16" i="5"/>
  <c r="H17" i="5"/>
  <c r="H18" i="5"/>
  <c r="H19" i="5"/>
  <c r="H20"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2" i="5"/>
  <c r="H3" i="4"/>
  <c r="H4" i="4"/>
  <c r="H5" i="4"/>
  <c r="H6" i="4"/>
  <c r="H7" i="4"/>
  <c r="H8" i="4"/>
  <c r="H9" i="4"/>
  <c r="H10" i="4"/>
  <c r="H11" i="4"/>
  <c r="H12" i="4"/>
  <c r="H2" i="4"/>
  <c r="G13" i="4" l="1"/>
  <c r="H44" i="6"/>
  <c r="C12" i="9" s="1"/>
  <c r="G92" i="5"/>
  <c r="H92" i="5"/>
  <c r="C11" i="9" s="1"/>
  <c r="H255" i="3"/>
  <c r="H253" i="3"/>
  <c r="H243" i="3"/>
  <c r="H232" i="3"/>
  <c r="H231" i="3"/>
  <c r="H230" i="3"/>
  <c r="H200" i="3"/>
  <c r="H165" i="3"/>
  <c r="H145" i="3"/>
  <c r="H144" i="3"/>
  <c r="H138" i="3"/>
  <c r="H137" i="3"/>
  <c r="H136" i="3"/>
  <c r="H135" i="3"/>
  <c r="H134" i="3"/>
  <c r="H133" i="3"/>
  <c r="H131" i="3"/>
  <c r="H130" i="3"/>
  <c r="H128" i="3"/>
  <c r="H126" i="3"/>
  <c r="H122" i="3"/>
  <c r="H117" i="3"/>
  <c r="H113" i="3"/>
  <c r="H107" i="3"/>
  <c r="H106" i="3"/>
  <c r="H104" i="3"/>
  <c r="H100" i="3"/>
  <c r="H101" i="3"/>
  <c r="H102" i="3"/>
  <c r="H85" i="3"/>
  <c r="H82" i="3"/>
  <c r="H80" i="3"/>
  <c r="H79" i="3"/>
  <c r="H76" i="3"/>
  <c r="H75" i="3"/>
  <c r="H74" i="3"/>
  <c r="H73" i="3"/>
  <c r="H61" i="3"/>
  <c r="H54" i="3"/>
  <c r="H41" i="3"/>
  <c r="H40" i="3"/>
  <c r="H32" i="3"/>
  <c r="H26" i="3"/>
  <c r="H23" i="3"/>
  <c r="H10" i="3"/>
  <c r="C8" i="9"/>
  <c r="C10" i="9" l="1"/>
  <c r="I13" i="4"/>
  <c r="I101" i="3"/>
  <c r="H2" i="1"/>
  <c r="H2" i="3" l="1"/>
  <c r="I51" i="3" s="1"/>
  <c r="J51" i="3" s="1"/>
  <c r="H5" i="2"/>
  <c r="H13" i="2"/>
  <c r="H21" i="2"/>
  <c r="H68" i="2"/>
  <c r="H84" i="2"/>
  <c r="H100" i="2"/>
  <c r="H2" i="2"/>
  <c r="H3" i="2"/>
  <c r="H4" i="2"/>
  <c r="H6" i="2"/>
  <c r="H7" i="2"/>
  <c r="H8" i="2"/>
  <c r="H9" i="2"/>
  <c r="H10" i="2"/>
  <c r="H11" i="2"/>
  <c r="H12" i="2"/>
  <c r="H14" i="2"/>
  <c r="H15" i="2"/>
  <c r="H16" i="2"/>
  <c r="H17" i="2"/>
  <c r="H18" i="2"/>
  <c r="H19" i="2"/>
  <c r="H20"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9" i="2"/>
  <c r="H70" i="2"/>
  <c r="H71" i="2"/>
  <c r="H72" i="2"/>
  <c r="H73" i="2"/>
  <c r="H74" i="2"/>
  <c r="H75" i="2"/>
  <c r="H76" i="2"/>
  <c r="H77" i="2"/>
  <c r="H78" i="2"/>
  <c r="H79" i="2"/>
  <c r="H80" i="2"/>
  <c r="H81" i="2"/>
  <c r="H82" i="2"/>
  <c r="H83" i="2"/>
  <c r="H85" i="2"/>
  <c r="H86" i="2"/>
  <c r="H87" i="2"/>
  <c r="H88" i="2"/>
  <c r="H89" i="2"/>
  <c r="H90" i="2"/>
  <c r="H91" i="2"/>
  <c r="H92" i="2"/>
  <c r="H93" i="2"/>
  <c r="H94" i="2"/>
  <c r="H95" i="2"/>
  <c r="H96" i="2"/>
  <c r="H97" i="2"/>
  <c r="H98" i="2"/>
  <c r="H99" i="2"/>
  <c r="H101" i="2"/>
  <c r="H102" i="2"/>
  <c r="I116" i="2" s="1"/>
  <c r="H103" i="2"/>
  <c r="H104" i="2"/>
  <c r="H105" i="2"/>
  <c r="H106" i="2"/>
  <c r="H107" i="2"/>
  <c r="H108" i="2"/>
  <c r="H109" i="2"/>
  <c r="H110" i="2"/>
  <c r="H111" i="2"/>
  <c r="H112" i="2"/>
  <c r="H113" i="2"/>
  <c r="H114" i="2"/>
  <c r="H115" i="2"/>
  <c r="H116" i="2"/>
  <c r="I51" i="2" l="1"/>
  <c r="I101" i="2"/>
  <c r="G298" i="3"/>
  <c r="I298" i="3" s="1"/>
  <c r="J298" i="3" s="1"/>
  <c r="G117" i="2"/>
  <c r="C7" i="9" s="1"/>
  <c r="C9" i="9" l="1"/>
  <c r="C14" i="9" s="1"/>
  <c r="G300" i="3"/>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I116" i="1" s="1"/>
  <c r="H103" i="1"/>
  <c r="H104" i="1"/>
  <c r="H105" i="1"/>
  <c r="H106" i="1"/>
  <c r="H107" i="1"/>
  <c r="H108" i="1"/>
  <c r="H109" i="1"/>
  <c r="H110" i="1"/>
  <c r="H111" i="1"/>
  <c r="H112" i="1"/>
  <c r="H113" i="1"/>
  <c r="H115" i="1"/>
  <c r="H116" i="1"/>
  <c r="I101" i="1" l="1"/>
  <c r="I51" i="1"/>
  <c r="G117" i="1"/>
  <c r="C6" i="9"/>
  <c r="C15" i="9" l="1"/>
  <c r="C17" i="9" s="1"/>
</calcChain>
</file>

<file path=xl/sharedStrings.xml><?xml version="1.0" encoding="utf-8"?>
<sst xmlns="http://schemas.openxmlformats.org/spreadsheetml/2006/main" count="5526" uniqueCount="1765">
  <si>
    <t>Item Code</t>
  </si>
  <si>
    <t>Item Name</t>
  </si>
  <si>
    <t>Item Details</t>
  </si>
  <si>
    <t>Additional Information</t>
  </si>
  <si>
    <t>UOM</t>
  </si>
  <si>
    <t>Quantity</t>
  </si>
  <si>
    <t>Unit Price In Figure</t>
  </si>
  <si>
    <t>Total Price In Figure</t>
  </si>
  <si>
    <t xml:space="preserve"> 1</t>
  </si>
  <si>
    <t xml:space="preserve"> P1</t>
  </si>
  <si>
    <t xml:space="preserve"> Preliminary and General Requirements  Tender Drawings</t>
  </si>
  <si>
    <t xml:space="preserve"> Notes</t>
  </si>
  <si>
    <t xml:space="preserve"> All items will be priced individually. Any item not priced hereunder will be deemed to be included in the Contractors Tender.</t>
  </si>
  <si>
    <t xml:space="preserve"> Item</t>
  </si>
  <si>
    <t xml:space="preserve"> 0</t>
  </si>
  <si>
    <t xml:space="preserve"> P2</t>
  </si>
  <si>
    <t xml:space="preserve"> Tender Drawings</t>
  </si>
  <si>
    <t xml:space="preserve"> The Tender Drawings are listed in Volume 4 Tender Drawings.</t>
  </si>
  <si>
    <t xml:space="preserve"> 3</t>
  </si>
  <si>
    <t xml:space="preserve"> P3</t>
  </si>
  <si>
    <t xml:space="preserve"> Preliminary and General Requirements  Conditions of Contract</t>
  </si>
  <si>
    <t xml:space="preserve"> Conditions of Contract</t>
  </si>
  <si>
    <t xml:space="preserve"> The Conditions of Contract shall be those contained within the Sultanate of Oman Standard Documents for Building and Civil Engineering Works prepared and issued by the Ministry of Finance Muscat.</t>
  </si>
  <si>
    <t xml:space="preserve"> P4</t>
  </si>
  <si>
    <t xml:space="preserve"> The Contractor shall allow for complying in all respect with the Conditions of Contract.</t>
  </si>
  <si>
    <t xml:space="preserve"> P5</t>
  </si>
  <si>
    <t xml:space="preserve"> Preliminary and General Requirements  Contractors Administration Arrangements</t>
  </si>
  <si>
    <t xml:space="preserve"> Drawings</t>
  </si>
  <si>
    <t xml:space="preserve"> The Contractor shall be responsible for checking all drawings and schedule etc. supplied by the Engineer.  In the event of any discrepancy being found between such drawings and schedules etc. or if the Contractor considers that additional detail drawings are required then in either case the Contractor shall report such discrepancy to the Engineer for instruction or apply in writing for such detail drawings at least 28 days before the materials and components necessary for the works are to be placed on order by the Contractor.</t>
  </si>
  <si>
    <t xml:space="preserve"> 6</t>
  </si>
  <si>
    <t xml:space="preserve"> P6</t>
  </si>
  <si>
    <t xml:space="preserve"> The Contractor shall ascertain from the drawings or otherwise any holes recesses plugs etc. which may be required in time to form these as the work proceeds. No extra payments will be allowed for cuttings or forming such holes subsequently.</t>
  </si>
  <si>
    <t xml:space="preserve"> P7</t>
  </si>
  <si>
    <t xml:space="preserve"> The Contractor will prepare at his own cost detailed working and shop drawings that may require supplementary to the construction drawings furnished by the Engineer.</t>
  </si>
  <si>
    <t xml:space="preserve"> P8</t>
  </si>
  <si>
    <t xml:space="preserve"> The detail and working drawing for civil and building works shall be prepared by the contractor supplement the construction drawings furnished by the Engineer will include Reinforcement details and Other drawings.</t>
  </si>
  <si>
    <t xml:space="preserve"> P9</t>
  </si>
  <si>
    <t xml:space="preserve"> The detail and working drawing for civil and building works shall be prepared by the contractor supplement the construction drawings furnished by the Engineer will include the Drawings and details of foundation for equipment machinery and technical installation.</t>
  </si>
  <si>
    <t xml:space="preserve"> 10</t>
  </si>
  <si>
    <t xml:space="preserve"> P10</t>
  </si>
  <si>
    <t xml:space="preserve"> Such drawing and detail will depend on the type and make of the equipment offered and will include in particular foundations etc. for the standby power generators chiller and radiators transformers ventilation and airconditioning equipment etc. Construction details as required.</t>
  </si>
  <si>
    <t xml:space="preserve"> P11</t>
  </si>
  <si>
    <t xml:space="preserve"> No drawing etc. prepared by the Contractor shall be used in the works before the Engineer has approved it.</t>
  </si>
  <si>
    <t xml:space="preserve"> P12</t>
  </si>
  <si>
    <t xml:space="preserve"> The Contractor shall submit to the Engineer for his approval two copies of all his detail working or shop drawings and related documents produced by him for use in construction work.  Any changes or modifications considered necessary by the Engineer shall be made at no extra cost to the Employer.</t>
  </si>
  <si>
    <t xml:space="preserve"> P13</t>
  </si>
  <si>
    <t xml:space="preserve"> Drawings and other documentation submitted to the Engineer for approval during the construction period should in no case be submitted later than two weeks before the date when the drawings or documents will be required on site for construction purpose.</t>
  </si>
  <si>
    <t xml:space="preserve"> P14</t>
  </si>
  <si>
    <t xml:space="preserve"> Preliminary and General Requirements  General Instruction</t>
  </si>
  <si>
    <t xml:space="preserve"> DESCRIPTION OF THE WORKS</t>
  </si>
  <si>
    <t xml:space="preserve"> The work under this Contract comprises the provision of all materials plant and labour of whatever kind necessary and the proper performance of every operation required for the complete and proper construction completion commissioning and maintenance of Proposed 20 Nos Housing Units at Halaniyat Island including civil structural mechanical and electrical services and external works. The exact scope of work is indicated in the Tender Drawings.</t>
  </si>
  <si>
    <t xml:space="preserve"> P15</t>
  </si>
  <si>
    <t xml:space="preserve"> GENERAL INSTRUCTIONS</t>
  </si>
  <si>
    <t xml:space="preserve"> The Tenderer shall insert a lumpsum or rate to each individual item Clause or SubClause in this Bill which he considers has a financial implication or is of financial value. Where the Contractor considers that an item Clause or SubClause has no financial value he shall insert the word Nil. Lump Sums shall not be inserted covering more than one item Clause or SubClause.</t>
  </si>
  <si>
    <t xml:space="preserve"> 16</t>
  </si>
  <si>
    <t xml:space="preserve"> P16</t>
  </si>
  <si>
    <t xml:space="preserve"> The value of services and obligations involved in all the items Clauses and SubClauses in this Bill shall not be included in rates or prices in other Bills of Quantities but shall be priced in their totality in this Bill.</t>
  </si>
  <si>
    <t xml:space="preserve"> P17</t>
  </si>
  <si>
    <t xml:space="preserve"> Contractors Administrative Arrangements</t>
  </si>
  <si>
    <t xml:space="preserve"> No examination or approval by the Engineer of any drawing or order documents submitted by the Contractor shall relieve the Contractor of any of his responsibilities under the Contract.</t>
  </si>
  <si>
    <t xml:space="preserve"> P18</t>
  </si>
  <si>
    <t xml:space="preserve"> Site  Administration</t>
  </si>
  <si>
    <t xml:space="preserve"> The Contractor shall allow for providing all that is required for the proper administration of the Contract at site level and in particular for complying in all respects with the relevant Clauses in the Standard Conditions of Contract.</t>
  </si>
  <si>
    <t xml:space="preserve"> 19</t>
  </si>
  <si>
    <t xml:space="preserve"> P19</t>
  </si>
  <si>
    <t xml:space="preserve"> Site Inspection</t>
  </si>
  <si>
    <t xml:space="preserve"> The Contractor is advised to visit and inspect the site during tendering at his own cost and hire own boat and to satisfy himself as to the accessibility and full extent and character of the site and of all local conditions and restrictions including the provision of and any matter referred to in Clause 11 of the Conditions of Contract..</t>
  </si>
  <si>
    <t xml:space="preserve"> 20</t>
  </si>
  <si>
    <t xml:space="preserve"> P20</t>
  </si>
  <si>
    <t xml:space="preserve"> Access to the site</t>
  </si>
  <si>
    <t xml:space="preserve"> Access to the site will be from existing roads adjacent to the site.Access to the site may be obtained by prior arrangement with Engineer. During the construction and maintenance stages the Contractor will be responsible for complying with all of the Employers security and safety requirements.</t>
  </si>
  <si>
    <t xml:space="preserve"> P21</t>
  </si>
  <si>
    <t xml:space="preserve"> During construction the Contractor will afford access to the site to any persons or Company employed directly by the Employer for the purpose of carrying out work at the site and will liaise with that person or company to agree a work procedure to ensure a mutually beneficial programme of work and to provide such services as are required in accordance with Clause 31 of the Conditions of Contract.</t>
  </si>
  <si>
    <t xml:space="preserve"> P22</t>
  </si>
  <si>
    <t xml:space="preserve"> Access for Plant</t>
  </si>
  <si>
    <t xml:space="preserve"> The Contractor should allow for all costs involved in making access arrangements for any items of plant etc. without risk of damage to roads leading to the site and such like and for reinstatement thereto.</t>
  </si>
  <si>
    <t xml:space="preserve"> P23</t>
  </si>
  <si>
    <t xml:space="preserve"> Limitations of Working Space</t>
  </si>
  <si>
    <t xml:space="preserve"> The Contractor shall confine his apparatus the storage of materials and the operations of the workman to the site and shall not be unreasonably encumber the area with his materials.</t>
  </si>
  <si>
    <t xml:space="preserve"> P24</t>
  </si>
  <si>
    <t xml:space="preserve"> The Contractor shall be entirely responsible for complying with municipality regulations regarding fencing the site storage of materials and spoil heaps unloading of materials temporary building sanitary arrangements etc.  No claims for delay or costs will be entertained in the event of work being stopped for breach of regulations.</t>
  </si>
  <si>
    <t xml:space="preserve"> 25</t>
  </si>
  <si>
    <t xml:space="preserve"> P25</t>
  </si>
  <si>
    <t xml:space="preserve"> Limitation of Working Hours</t>
  </si>
  <si>
    <t xml:space="preserve"> Any work which in accordance with Clause 45 of the Conditions of Contract or by agreement with the Engineer executed outside of normal working hours or on Fridays or Public Holidays shall be carried out in such a way as to cause the absolute minimum of disturbance or inconvenience to the Residents or users of the buildings near or adjacent to the works.</t>
  </si>
  <si>
    <t xml:space="preserve"> P26</t>
  </si>
  <si>
    <t xml:space="preserve"> The Contractors specific attention is drawn to the clauses in the specification relating to restriction of placement of certain items of work in certain weatherstemperature conditions and he is to allow for complying with these requirements.</t>
  </si>
  <si>
    <t xml:space="preserve"> P27</t>
  </si>
  <si>
    <t xml:space="preserve"> Restrictions</t>
  </si>
  <si>
    <t xml:space="preserve"> The site shall not be used for any purpose other than the execution of the Contract.</t>
  </si>
  <si>
    <t xml:space="preserve"> P28</t>
  </si>
  <si>
    <t xml:space="preserve"> The Contractor will be required to make good any damage to the surrounding properties caused during the execution of the work and to restore to their original condition after the completion of the works.</t>
  </si>
  <si>
    <t xml:space="preserve"> P29</t>
  </si>
  <si>
    <t xml:space="preserve"> Vegetation and trees are not to be cut down or in any way interfered with even if shown on the drawings to be removed or breached until the Engineers permission has been obtained.</t>
  </si>
  <si>
    <t xml:space="preserve"> 30</t>
  </si>
  <si>
    <t xml:space="preserve"> P30</t>
  </si>
  <si>
    <t xml:space="preserve"> Vegetation and Trees</t>
  </si>
  <si>
    <t xml:space="preserve"> Prevent damage to vegetation and trees and provide protection for them in accordance with the Specification. Pay all costs and charges incurred in complying with statutes and regulations regarding trees</t>
  </si>
  <si>
    <t xml:space="preserve"> P31</t>
  </si>
  <si>
    <t xml:space="preserve"> The Contractor shall ascertain for himself the location of existing services on under or over the site. He shall take precautions to protect all such services within the confines of the site temporarily divert as required reinstate on completion and immediately make good any damage at his own expense all to the satisfaction of the Engineer.</t>
  </si>
  <si>
    <t xml:space="preserve"> P32</t>
  </si>
  <si>
    <t xml:space="preserve"> Existing Services</t>
  </si>
  <si>
    <t xml:space="preserve"> P33</t>
  </si>
  <si>
    <t xml:space="preserve"> Allow for locate protect uphold temporarily divert if necessary and maintain all pipes ducts drains sewers service mains overhead or underground electrical telephone cables etc. during execution of the Works. The Contractor shall make good any damage to existing services andor property however caused at his own expense or pay any costs or charges in connection. Approval shall be obtained a minimum of two weeks in advance of any planned interruption of services.</t>
  </si>
  <si>
    <t xml:space="preserve"> P34</t>
  </si>
  <si>
    <t xml:space="preserve"> Existing services and their locations may not be fully shown on the drawings and the Contractor shall liaise with the relevant authorities to determine the exact nature and full extent of such services which require protection and maintenance.</t>
  </si>
  <si>
    <t xml:space="preserve"> 35</t>
  </si>
  <si>
    <t xml:space="preserve"> P35</t>
  </si>
  <si>
    <t xml:space="preserve"> Supervision</t>
  </si>
  <si>
    <t xml:space="preserve"> Detailed Curriculum Vitae of the Contractors Supervisory staff together with those of his SubContractors Supervisors must be submitted for the Engineers approval prior to commencement of the Works.</t>
  </si>
  <si>
    <t xml:space="preserve"> P36</t>
  </si>
  <si>
    <t xml:space="preserve"> The Project Manager  Project Engineer shall not be changed without one months written notice to the Engineer.</t>
  </si>
  <si>
    <t xml:space="preserve"> P37</t>
  </si>
  <si>
    <t xml:space="preserve"> Security</t>
  </si>
  <si>
    <t xml:space="preserve"> Allow for providing security to the site. Only those staff and workpeople directly employed on this project will be allowed on site.</t>
  </si>
  <si>
    <t xml:space="preserve"> P38</t>
  </si>
  <si>
    <t xml:space="preserve"> Safety Health and Welfare of Workpeople</t>
  </si>
  <si>
    <t xml:space="preserve"> Provide for all costs and charges incurred by complying with all safety health and welfare regulations appertaining to staff and workpeople employed on the site including those employed by all SubContractors.</t>
  </si>
  <si>
    <t xml:space="preserve"> P39</t>
  </si>
  <si>
    <t xml:space="preserve"> The Contractor shall be responsible for and shall allow for providing medical facilities including emergency medical facilities for his staff and shall make these available to the Engineers staff.</t>
  </si>
  <si>
    <t xml:space="preserve"> 40</t>
  </si>
  <si>
    <t xml:space="preserve"> P40</t>
  </si>
  <si>
    <t xml:space="preserve"> Allow for all costs for providing protective clothing and accessories for all workmen and supervisory staff on site.</t>
  </si>
  <si>
    <t xml:space="preserve"> P41</t>
  </si>
  <si>
    <t xml:space="preserve"> Contractors and Subcontractors operatives will not be allowed to eat and sleep on site at any time. Proper shaded areas are to be provided within the site establishment for Contractors and Subcontractors operatives to ensure they do not move outside the site premises.</t>
  </si>
  <si>
    <t xml:space="preserve"> P42</t>
  </si>
  <si>
    <t xml:space="preserve"> Transport of Workpeople</t>
  </si>
  <si>
    <t xml:space="preserve"> Allow for the cost of all transport to and from site of the workpeople engaged on the site in approved vehicles.</t>
  </si>
  <si>
    <t xml:space="preserve"> P43</t>
  </si>
  <si>
    <t xml:space="preserve"> Constructional  PlantSmall Plant and Tools</t>
  </si>
  <si>
    <t xml:space="preserve"> Provide for all necessary small plant and tools for the proper execution and completion of the Contract.</t>
  </si>
  <si>
    <t xml:space="preserve"> P44</t>
  </si>
  <si>
    <t xml:space="preserve"> Constructional  PlantScaffoldingworking platforms</t>
  </si>
  <si>
    <t xml:space="preserve"> Provide all necessary temporary scaffolding and working platforms for the proper execution and completion of the Contract. Alter relocate and adapt from time to time as necessary. The Contractor is to ascertain whether any scaffolding or platform is required by any SubContractor before striking. If the Contractor should strike any of his scaffolding or working platform and it is so required it shall be reerected at his own expenses.</t>
  </si>
  <si>
    <t xml:space="preserve"> 45</t>
  </si>
  <si>
    <t xml:space="preserve"> P45</t>
  </si>
  <si>
    <t xml:space="preserve"> Constructional  PlantPlant required for Specific Trades</t>
  </si>
  <si>
    <t xml:space="preserve"> Provide all necessary plant required for specific trades for the proper execution and completion of the Contract.</t>
  </si>
  <si>
    <t xml:space="preserve"> P46</t>
  </si>
  <si>
    <t xml:space="preserve"> Constructional  PlantCranes and Lifting Plant</t>
  </si>
  <si>
    <t xml:space="preserve"> Allow for all cranes and lifting plant necessary for the safe and efficient execution of the works to the satisfaction of the Engineer.</t>
  </si>
  <si>
    <t xml:space="preserve"> P47</t>
  </si>
  <si>
    <t xml:space="preserve"> Constructional  PlantPlant generally</t>
  </si>
  <si>
    <t xml:space="preserve"> Allow for all other plant necessary for the safe and efficient execution of the Works.</t>
  </si>
  <si>
    <t xml:space="preserve"> P48</t>
  </si>
  <si>
    <t xml:space="preserve"> Transport for Work People</t>
  </si>
  <si>
    <t xml:space="preserve"> The Contractor is to allow for obtaining an adequate labour force for the Works and is to include for transport men to and from the Site as is necessary.</t>
  </si>
  <si>
    <t xml:space="preserve"> P49</t>
  </si>
  <si>
    <t xml:space="preserve"> Site Transportation</t>
  </si>
  <si>
    <t xml:space="preserve"> Provide all necessary vehicles and other site transport etc. with all consumables store etc. as described for small plant and tools etc.</t>
  </si>
  <si>
    <t xml:space="preserve"> 50</t>
  </si>
  <si>
    <t xml:space="preserve"> P50</t>
  </si>
  <si>
    <t xml:space="preserve"> Preliminary and General Requirements  Employer  Facilities</t>
  </si>
  <si>
    <t xml:space="preserve"> Temporary Office</t>
  </si>
  <si>
    <t xml:space="preserve"> Provide erect furnish equip maintain and remove three month after completion of the Contract fully serviced furnished and equipped airconditioned offices and a conference room for the exclusive use of the Engineer all as described in General Requirement of the Architectural Specification.</t>
  </si>
  <si>
    <t xml:space="preserve"> P51</t>
  </si>
  <si>
    <t xml:space="preserve"> The offices shall be provided and maintained throughout the period of the Contract.</t>
  </si>
  <si>
    <t xml:space="preserve"> P52</t>
  </si>
  <si>
    <t xml:space="preserve"> The Contractor shall be responsible for providing security power water drainage safety helmets safety boots daily cleaning car parking and other facilities to the Engineers offices.</t>
  </si>
  <si>
    <t xml:space="preserve"> P53</t>
  </si>
  <si>
    <t xml:space="preserve"> The Contractor shall be responsible during the continuance of the Contract for satisfactorily maintain and security of the offices and for all plans documents and paper and other articles contained there in.</t>
  </si>
  <si>
    <t xml:space="preserve"> P54</t>
  </si>
  <si>
    <t xml:space="preserve"> Telephone for the Engineer and Employer</t>
  </si>
  <si>
    <t xml:space="preserve"> Allow for providing the Engineers site office with an independent telephone service until removal of office and for paying all charges incurred by the Engineers staff for business calls concerning the project within the Sultanate of Oman.</t>
  </si>
  <si>
    <t xml:space="preserve"> P55</t>
  </si>
  <si>
    <t xml:space="preserve"> Attendance on the Engineer</t>
  </si>
  <si>
    <t xml:space="preserve"> Provide attendance and assistance to the Engineer all as described in the Specification.</t>
  </si>
  <si>
    <t xml:space="preserve"> P56</t>
  </si>
  <si>
    <t xml:space="preserve"> Surveying and other equipment</t>
  </si>
  <si>
    <t xml:space="preserve"> The Contractor shall provide to the Engineer for his exclusive use all survey equipment and electrical test equipment as described in the Specification.</t>
  </si>
  <si>
    <t xml:space="preserve"> P57</t>
  </si>
  <si>
    <t xml:space="preserve"> Mobilisation</t>
  </si>
  <si>
    <t xml:space="preserve"> The Engineer may issue the notice to proceed at any time within the period of validity of the tender. After the date of the notice to proceed the Contractor shall have a period of 120 days to complete mobilisation and to be completely prepared for the work. After the mobilisation is complete the work shall be carried out in accordance with the requirements of this Contract.</t>
  </si>
  <si>
    <t xml:space="preserve"> P58</t>
  </si>
  <si>
    <t xml:space="preserve"> Programme and Order of Works</t>
  </si>
  <si>
    <t xml:space="preserve"> Within 14 days of receipt of an order to commence the Works the Contractor shall submit to the Engineer a detailed programme in respect of all works contained in the scope of works including temporary works and services.</t>
  </si>
  <si>
    <t xml:space="preserve"> P59</t>
  </si>
  <si>
    <t xml:space="preserve"> Within 21 days of receipt of an order to commence the Works the  Contractor shall submit to the Engineer a detailed programme in respect of all trades separately for each building section and external works and services together with the target dates for receipt of information required to enable the Contractor to comply with this programme.</t>
  </si>
  <si>
    <t xml:space="preserve"> 60</t>
  </si>
  <si>
    <t xml:space="preserve"> P60</t>
  </si>
  <si>
    <t xml:space="preserve"> In addition the Contractor shall at the same time submit to the Engineer a detailed schedule of items and information that he requires instruction upon for early ordering schedules.</t>
  </si>
  <si>
    <t xml:space="preserve"> P61</t>
  </si>
  <si>
    <t xml:space="preserve"> Coordination</t>
  </si>
  <si>
    <t xml:space="preserve"> The Contractors attention is drawn to the fact that he shall be entirely responsible for the coordination of all works carried out by both his own workmen and the workmen of SubContractors and shall be responsible for ensuring that all SubContractors shop andor working drawings are submitted to the Engineer for approval in such time as not to prejudice the expeditious execution of the Works in accordance with the Contractors programme.</t>
  </si>
  <si>
    <t xml:space="preserve"> P62</t>
  </si>
  <si>
    <t xml:space="preserve"> Reports</t>
  </si>
  <si>
    <t xml:space="preserve"> Provide and maintain daily reports and delivery records for inspection by the Engineer. Such reports must give details of number and category of labour force list of plant list of material deliveries work planned and work carried out climatic conditions high and low temperature and any other information required by the Engineer.</t>
  </si>
  <si>
    <t xml:space="preserve"> P63</t>
  </si>
  <si>
    <t xml:space="preserve"> Progress Reports</t>
  </si>
  <si>
    <t xml:space="preserve"> Provide progress reports at intervals and in a format as required by the Engineer.</t>
  </si>
  <si>
    <t xml:space="preserve"> P64</t>
  </si>
  <si>
    <t xml:space="preserve"> Provide a camera on site for use by the Engineer and arrange each month to print in duplicate colour progress photographs of the works taken by the Engineer. All photographs shall be subject to the Employers security precautions and shall not be used for promotional commercial purposes without written permission of the Employer. The Contractor shall provide suitable albums for the correct storage of the above photographs. The copy rights of all photographs rests with the Employer.</t>
  </si>
  <si>
    <t xml:space="preserve"> P65</t>
  </si>
  <si>
    <t xml:space="preserve"> Site Sign Boards</t>
  </si>
  <si>
    <t xml:space="preserve"> The Contractor shall allow for the provision erection and maintenance of two site sign board to display the project name the names of all Consultants associated with the Works and the Contractors name all as specified and to the approval of the Engineer.The sign board shall be complete with all necessary foundations supports framing painting and sign writing in Arabic and English denoting the title of the Project name of the Employer and names of Consultants and Contractor with their respective addresses and logos. The Contractor shall provide all details of the sign board to the Engineer for his approval before any work is put in hand and to enable erection to commence in the early stages of the Contract.The Contractor shall at the completion of the Contract remove the sign board supports and foundations.</t>
  </si>
  <si>
    <t xml:space="preserve"> P66</t>
  </si>
  <si>
    <t xml:space="preserve"> Site Offices Stores and Other Facilities</t>
  </si>
  <si>
    <t xml:space="preserve"> The Contractor shall provide erect maintain and remove on completion all necessary site offices stores messrooms sanitary accommodation and other facilities as may be required by the Contractor for his own and his SubContractors use together with all associated water drainage electrical lighting and power airconditioning telephoneradio facilities furniture equipment and attendance.</t>
  </si>
  <si>
    <t xml:space="preserve"> P67</t>
  </si>
  <si>
    <t xml:space="preserve"> The position of all site offices stores etc. shall be to the approval of the Engineer and the Contractor must allow for all other facilities he may require to fulfil his contractual obligations additional to the area allocated to him.</t>
  </si>
  <si>
    <t xml:space="preserve"> P68</t>
  </si>
  <si>
    <t xml:space="preserve"> Preliminary and General Requirements  Contractor  Facilities</t>
  </si>
  <si>
    <t xml:space="preserve"> Accommodation for Workmen</t>
  </si>
  <si>
    <t xml:space="preserve"> The Contractor will not be allowed to accommodate workpeople on the site and arrangements must be made for such accommodation elsewhere at the Contractors expense and for transporting the workforce to the site.</t>
  </si>
  <si>
    <t xml:space="preserve"> P69</t>
  </si>
  <si>
    <t xml:space="preserve"> Communications</t>
  </si>
  <si>
    <t xml:space="preserve"> Provide a telephone for both his own and his SubContractors use including paying all charges in connection therewith. Radio telephone will only be permitted at the discretion of the Engineer if in his opinion it is not feasible to obtain a conventional telephone connection.</t>
  </si>
  <si>
    <t xml:space="preserve"> P70</t>
  </si>
  <si>
    <t xml:space="preserve"> Preliminary and General Requirements</t>
  </si>
  <si>
    <t xml:space="preserve"> Temporary worksTemporary  Fencing</t>
  </si>
  <si>
    <t xml:space="preserve"> Allow for all temporary fencing hoardings screens gantries etc. necessary for the execution of the Works. The Contractors particular attention is drawn to the neatness and approval of the hoardings by the Authorities and the Engineer.</t>
  </si>
  <si>
    <t xml:space="preserve"> P71</t>
  </si>
  <si>
    <t xml:space="preserve"> Temporary worksTemporary  Roads</t>
  </si>
  <si>
    <t xml:space="preserve"> Provide maintain and alter as necessary temporary roads paths hardstandings pavement crossings and the like to and within the site. Remove and reinstate all ground and work disturbed when required.</t>
  </si>
  <si>
    <t xml:space="preserve"> P72</t>
  </si>
  <si>
    <t xml:space="preserve"> Temporary worksWater for the Works</t>
  </si>
  <si>
    <t xml:space="preserve"> Provide all water required for the Works and provide and remove on completion all requisite temporary pipework pumps storage tanks etc.  The Contractor must include for obtaining water from an independent source.</t>
  </si>
  <si>
    <t xml:space="preserve"> P73</t>
  </si>
  <si>
    <t xml:space="preserve"> Temporary worksElectricity for the Works</t>
  </si>
  <si>
    <t xml:space="preserve"> Provide all electric light and power required for the Works including all temporary installations maintaining altering and adapting as necessary and remove all temporary installations on completion.</t>
  </si>
  <si>
    <t xml:space="preserve"> P74</t>
  </si>
  <si>
    <t xml:space="preserve"> Temporary worksTraffic  Diversions</t>
  </si>
  <si>
    <t xml:space="preserve"> The Contractor is to maintain at all times the flow of traffic  on the existing roads and is to provide suitable signs lights and flag men at all times during the currency of the Contract all to the approval of the Authorities and the Engineer.</t>
  </si>
  <si>
    <t xml:space="preserve"> P75</t>
  </si>
  <si>
    <t xml:space="preserve"> Temporary worksPumping and Dewatering</t>
  </si>
  <si>
    <t xml:space="preserve"> Provide here for all equipment and labour necessary to comply with the requirements for keeping the excavations and area of site free from surface underground running or standing water to the complete satisfaction of the Engineer to cover all such work wherever such work is not specifically measured in the relevant sections of the Bills of Quantities.</t>
  </si>
  <si>
    <t xml:space="preserve"> P76</t>
  </si>
  <si>
    <t xml:space="preserve"> Temporary worksTemporary  Lighting</t>
  </si>
  <si>
    <t xml:space="preserve"> Allow for installation maintenance and operation during hours of darkness a system of sufficient artificial lighting of roads paths access routes working platforms and areas where the works are in operation on site and that may be used or approached by any persons authorised to be on site and final removal from site on completion of the works.</t>
  </si>
  <si>
    <t xml:space="preserve"> P77</t>
  </si>
  <si>
    <t xml:space="preserve"> Sundry ItemsTesting of Materials and the Works</t>
  </si>
  <si>
    <t xml:space="preserve"> Allow for all tests required by the Specification to be carried out including providing all necessary equipment materials and samples</t>
  </si>
  <si>
    <t xml:space="preserve"> P78</t>
  </si>
  <si>
    <t xml:space="preserve"> Sundry ItemsSingle Sources of Supply</t>
  </si>
  <si>
    <t xml:space="preserve"> Where a choice of manufacturer or source of supply is allowed for any particular product of material the whole quantity required to complete the work must be of the same type manufacturer andor source. Changes will not be allowed without prior approval of the Engineer and at no cost to the Client. Written evidence of sources of supply must be produced when requested by Engineer.</t>
  </si>
  <si>
    <t xml:space="preserve"> P79</t>
  </si>
  <si>
    <t xml:space="preserve"> Sundry ItemsSamples; generally</t>
  </si>
  <si>
    <t xml:space="preserve"> Allow for providing and submitting to the Engineer as he may require samples of all materials and goods which the Contractor proposes to incorporate in the Works.</t>
  </si>
  <si>
    <t xml:space="preserve"> 80</t>
  </si>
  <si>
    <t xml:space="preserve"> P80</t>
  </si>
  <si>
    <t xml:space="preserve"> Allow for providing sample panels of materials workmanship and mockups as required by the Specification.</t>
  </si>
  <si>
    <t xml:space="preserve"> P81</t>
  </si>
  <si>
    <t xml:space="preserve"> Sundry ItemsSamples  Marble</t>
  </si>
  <si>
    <t xml:space="preserve"> The contractor shall submit three samples 300 x 300 mm of each marble specified layout of slabs and detailed shop drawings showing dimensions to the Engineer and obtain his approval prior to placing order. One of the samples should be the type of marble proposed to be incorporated in the works.</t>
  </si>
  <si>
    <t xml:space="preserve"> P82</t>
  </si>
  <si>
    <t xml:space="preserve"> The other two shall indicate the closest natural variation in colour and grain of the proposed marble.  All marble slabs shall be delivered on site polished and ready for installation.</t>
  </si>
  <si>
    <t xml:space="preserve"> P83</t>
  </si>
  <si>
    <t xml:space="preserve"> Sundry ItemsSource of Marble</t>
  </si>
  <si>
    <t xml:space="preserve"> Tenderers are required to name the proposed suppliers of marble to be incorporated in the works this information is to be submitted with the Tender.</t>
  </si>
  <si>
    <t xml:space="preserve"> P84</t>
  </si>
  <si>
    <t xml:space="preserve"> Sundry ItemsProtection of the Works</t>
  </si>
  <si>
    <t xml:space="preserve"> Allow for protecting the Works from damage from any source including inclement weather.</t>
  </si>
  <si>
    <t xml:space="preserve"> P85</t>
  </si>
  <si>
    <t xml:space="preserve"> Sundry ItemsDisposal of refuse</t>
  </si>
  <si>
    <t xml:space="preserve"> Keep the site free from debris arising from the Works during the construction period and leave the site free from debris and large loose stones on completion to the satisfaction of the Engineer.</t>
  </si>
  <si>
    <t xml:space="preserve"> P86</t>
  </si>
  <si>
    <t xml:space="preserve"> Sundry ItemsSite Clearance</t>
  </si>
  <si>
    <t xml:space="preserve"> Clear the site of all scrub debris rubbish etc. in accordance with the Specification.</t>
  </si>
  <si>
    <t xml:space="preserve"> P87</t>
  </si>
  <si>
    <t xml:space="preserve"> Sundry ItemsReports</t>
  </si>
  <si>
    <t xml:space="preserve"> Provide and maintain all Records Site Books and Daily Reports for inspection by the Engineer.</t>
  </si>
  <si>
    <t xml:space="preserve"> P88</t>
  </si>
  <si>
    <t xml:space="preserve"> Sundry ItemsProgress Report</t>
  </si>
  <si>
    <t xml:space="preserve"> Provide Progress Reports at monthly intervals in a format as required by the Engineer.</t>
  </si>
  <si>
    <t xml:space="preserve"> P89</t>
  </si>
  <si>
    <t xml:space="preserve"> Sundry ItemsCleaning the Works</t>
  </si>
  <si>
    <t xml:space="preserve"> Remove protective casings and coverings and thoroughly clean the Works at completion to the entire satisfaction of the Engineer.</t>
  </si>
  <si>
    <t xml:space="preserve"> P90</t>
  </si>
  <si>
    <t xml:space="preserve"> Sundry ItemsTraffic  Regulations</t>
  </si>
  <si>
    <t xml:space="preserve"> Allow for complying with all traffic regulations.</t>
  </si>
  <si>
    <t xml:space="preserve"> P91</t>
  </si>
  <si>
    <t xml:space="preserve"> Sundry ItemsMaintenance of Public and Private Roads</t>
  </si>
  <si>
    <t xml:space="preserve"> Allow for making good any damage to public or private roads paths paved or landscaped areas. Contractors SubContractors and Suppliers vehicles must be kept in a clean condition and must not be allowed to soil public or private areas.</t>
  </si>
  <si>
    <t xml:space="preserve"> P92</t>
  </si>
  <si>
    <t xml:space="preserve"> Sundry ItemsFire Fighting Facilities</t>
  </si>
  <si>
    <t xml:space="preserve"> Provide fire fighting facilities on site to the approval of the Authorities and the Engineer.</t>
  </si>
  <si>
    <t xml:space="preserve"> P93</t>
  </si>
  <si>
    <t xml:space="preserve"> Sundry ItemsMaintenance of existing property access.</t>
  </si>
  <si>
    <t xml:space="preserve"> The Contractor is to maintain access to existing properties at all times with the use of steel plates ramps ducts etc. all to the approval of the Engineer.</t>
  </si>
  <si>
    <t xml:space="preserve"> P94</t>
  </si>
  <si>
    <t xml:space="preserve"> Sundry ItemsDrying the Works</t>
  </si>
  <si>
    <t xml:space="preserve"> Allow for drying the works in accordance with the Specification and to the satisfaction of the Engineer.</t>
  </si>
  <si>
    <t xml:space="preserve"> P95</t>
  </si>
  <si>
    <t xml:space="preserve"> Sundry ItemsControl of noise and pollution</t>
  </si>
  <si>
    <t xml:space="preserve"> Allow for keeping noise and pollution to an absolute minimum.Take all necessary precautions to reduce noise from plant by means of mufflers silencers screens and the like.Work entailing excessive noise is to be carried out during suitable hours as directed by the Engineer.</t>
  </si>
  <si>
    <t xml:space="preserve"> P96</t>
  </si>
  <si>
    <t xml:space="preserve"> Sundry ItemsAntipollution  Measures</t>
  </si>
  <si>
    <t xml:space="preserve"> The Contractor shall take precautions to minimize the pollution of and disturbance to lands roads and other places on and around the site.</t>
  </si>
  <si>
    <t xml:space="preserve"> P97</t>
  </si>
  <si>
    <t xml:space="preserve"> Sundry ItemsStatutory  Obligations</t>
  </si>
  <si>
    <t xml:space="preserve"> Allow for complying with all Statutory Obligations and for obtaining all permissions licences etc. and paying all fees as required by Statutory Authorities in connection with the carrying out of the Works.Allow for arranging inspection and the obtaining of all no objection certificates.The Contractor shall allow for complying with all building regulations.</t>
  </si>
  <si>
    <t xml:space="preserve"> P98</t>
  </si>
  <si>
    <t xml:space="preserve"> Sundry ItemsPublic Authority for Electricity and Water PAEW and Oman Telecommunications Company OMANTEL Regulations and Requirements</t>
  </si>
  <si>
    <t xml:space="preserve"> Public Authority for Electricity and Water  PAEW and OMANTEL regulations require certain works to be carried out by specialist Contractors approved by them and it is the responsibility of Tenderers to establish the extent of such work.  Tenderers will be deemed to have allowed in their rates against the various items of work for complying with Public Authority for Electricity and Water and OMANTEL regulations and where necessary for employing Public Authority for Electricity and Water and OMANTEL approved Contractors for such specialist works.</t>
  </si>
  <si>
    <t xml:space="preserve"> P99</t>
  </si>
  <si>
    <t xml:space="preserve"> Sundry ItemsSite Survey and Grid of Levels</t>
  </si>
  <si>
    <t xml:space="preserve"> Before commencing excavation or site levelling operations the Contractor shall conduct a coordinated site survey witnessed by the Engineer related to a bench mark referred to in the Contract document and shall prepare a site plan showing a grid of levels at 5 m centres to the proposed site the Contractor shall provide the Engineer with one transparency and two copies of the site survey plan.</t>
  </si>
  <si>
    <t xml:space="preserve"> 100</t>
  </si>
  <si>
    <t xml:space="preserve"> P100</t>
  </si>
  <si>
    <t xml:space="preserve"> The Contractor shall conduct similar site survey after site levelling operations and external works have been completed and provide drawings as above.</t>
  </si>
  <si>
    <t xml:space="preserve"> P101</t>
  </si>
  <si>
    <t xml:space="preserve"> Sundry ItemsCopies of Orders</t>
  </si>
  <si>
    <t xml:space="preserve"> Provide the Engineers Representative with a copy of all orders for the supply of such materials or goods required in connection with the Works as the Engineers Representative may specify.</t>
  </si>
  <si>
    <t xml:space="preserve"> P102</t>
  </si>
  <si>
    <t xml:space="preserve"> Sundry ItemsWorking Drawings</t>
  </si>
  <si>
    <t xml:space="preserve"> Allow for preparing and submission to the Engineer of all working drawings and operation and maintenance instructions as detailed in the specification if these costs are not specifically measured elsewhere in the relevant sections of this document.</t>
  </si>
  <si>
    <t xml:space="preserve"> P103</t>
  </si>
  <si>
    <t xml:space="preserve"> Upon completion of the works submit two sets of diskettes Autocad R12 later  two transparencies and four copies of all drawings duly marked AsBuilt clearly defining all locations depths shapes and dimensions of all permanent works executed.</t>
  </si>
  <si>
    <t xml:space="preserve"> P104</t>
  </si>
  <si>
    <t xml:space="preserve"> Sundry ItemsTraining of Employers Personnel</t>
  </si>
  <si>
    <t xml:space="preserve"> During the execution of the Works the Contractor shall  provide such assistance as may be necessary for the instruction and training of personnel appointed by the         Employer.</t>
  </si>
  <si>
    <t xml:space="preserve"> P105</t>
  </si>
  <si>
    <t xml:space="preserve"> The Contractor shall provide all necessary instruction material for this purpose such as manuals booklets pamphlets drawings sketches models pictures photoscolour slides films etc. This instruction material shall become the property of the Employer.</t>
  </si>
  <si>
    <t xml:space="preserve"> P106</t>
  </si>
  <si>
    <t xml:space="preserve"> Sundry ItemsDirect Contractors</t>
  </si>
  <si>
    <t xml:space="preserve"> The Tenderers attention is drawn to the fact that the Employer may appoint other Contractors to carry out certain items of Specialist Works in accordance with Clause 31 of the Conditions of Contract.</t>
  </si>
  <si>
    <t xml:space="preserve"> P107</t>
  </si>
  <si>
    <t xml:space="preserve"> Preliminary and General Requirements  Performance Bond Advance Payment Bond and Insurance Certificate</t>
  </si>
  <si>
    <t xml:space="preserve"> Performance Bond</t>
  </si>
  <si>
    <t xml:space="preserve"> The Contractor will be required to provide Performance Bond all in accordance with Clause 4.2 of the Conditions of Contract.</t>
  </si>
  <si>
    <t xml:space="preserve"> P108</t>
  </si>
  <si>
    <t xml:space="preserve"> Insurance</t>
  </si>
  <si>
    <t xml:space="preserve"> The Contractor will be required to provide all Insurances in accordance with the Conditions of Contract.</t>
  </si>
  <si>
    <t xml:space="preserve"> P109</t>
  </si>
  <si>
    <t xml:space="preserve"> Insurance Declaration</t>
  </si>
  <si>
    <t xml:space="preserve"> On signing the Contract the Contractor shall obtain from his Insurance Company and lodge with the Engineer a declaration that the insurance provided is strictly in accordance with all relevant Clause in the Conditions of Contract.  This shall also include insurance against damage of any kind to existing buildings which may arise as a result of the building operations.</t>
  </si>
  <si>
    <t xml:space="preserve"> P110</t>
  </si>
  <si>
    <t xml:space="preserve"> Advance Payment Bond</t>
  </si>
  <si>
    <t xml:space="preserve"> The Contractor will be required to provide an Advance Payment Bond all in accordance with Clause 14.2 of Conditions of Contract.</t>
  </si>
  <si>
    <t xml:space="preserve"> P111</t>
  </si>
  <si>
    <t xml:space="preserve"> Preliminary and General Requirements  Temporary Facilities.</t>
  </si>
  <si>
    <t xml:space="preserve"> Refer Provisional SumTemporary Houses</t>
  </si>
  <si>
    <t xml:space="preserve"> The Contractor will be required to provide temporary houses Caravan for the resident while working in the Construction and also during Maintenance Works and refix inside houses after work finish as outside extra rooms for them. Every caravan will be around 65m2 and will include and not be limited to 2 rooms a hall a kitchen and two toilets The structure to use steel structure painted with anticorrosion paint with isolated walls and roof aluminum sandwich panels 50 mm thickness from 2 sheets 0.7 mm thickness and foam of 45 kgm3 density internal ceramic floor and walls for toiles and kitchen to be ceramic all sanitary fixture for toilet and kitchen sink and cabinet sewage electrical and water connection to be done in the temporary place and will be finally done again after move to internal new and maintained houses foundation for caravan and 3 steps omani marble in final place fixing also 4 AC are included design of caravan to be done by the contractor approved by clientconsultant beforedelivery the caravans will be under project defects notification period for one year.</t>
  </si>
  <si>
    <t xml:space="preserve"> item</t>
  </si>
  <si>
    <t xml:space="preserve"> P112</t>
  </si>
  <si>
    <t xml:space="preserve"> Preliminary and General Requirements  CCTV Control.</t>
  </si>
  <si>
    <t xml:space="preserve"> CCTV</t>
  </si>
  <si>
    <t xml:space="preserve"> The Contractor will be required to provide CCTV to monitor and maintain the work activity at site while working in the Construction Works also during Maintenance Works.</t>
  </si>
  <si>
    <t xml:space="preserve"> P113</t>
  </si>
  <si>
    <t xml:space="preserve"> External Temporary Building</t>
  </si>
  <si>
    <t xml:space="preserve"> The Contractor should follow maintenance works for the External Building for the Existing 32 Housing while working in the Construction Works also during Maintenance Works.</t>
  </si>
  <si>
    <t xml:space="preserve"> P114</t>
  </si>
  <si>
    <t xml:space="preserve"> Preliminary and General Requirements  EngineerEmployer  Facilities</t>
  </si>
  <si>
    <t xml:space="preserve"> Facilities for EngineersEmployers</t>
  </si>
  <si>
    <t xml:space="preserve"> The Contractor shall provide erect maintain and remove on completion all necessary Engineers accommodation Employers accommodation common kitchen with dining hall including food for all time to the EngineersEmployers sanitary accommodation and other facilities all by the Contractor expenses and link together with all associated water drainage electrical lighting and power airconditioning telephone mobile phones 4nos with recharge cards 30rial new furniture washing equipment and maintenance the same until the Completion of Project as per details in prim documents.</t>
  </si>
  <si>
    <t xml:space="preserve"> P115</t>
  </si>
  <si>
    <t xml:space="preserve"> Site Transportation for EngineersEmployers</t>
  </si>
  <si>
    <t xml:space="preserve"> Provide necessary 4x4 vehicles 2nos in excellent condition for consultantclient staff transportation and pickup vehicle 2nos for site transport etc. with all consumables fuel etc. as described for small plant and tools for regular maintenance etc as per details in prim documents.</t>
  </si>
  <si>
    <t xml:space="preserve"> D1</t>
  </si>
  <si>
    <t xml:space="preserve"> Daywork Schedule</t>
  </si>
  <si>
    <t xml:space="preserve"> Day Work</t>
  </si>
  <si>
    <t xml:space="preserve"> The Contractor may be required to execute certain works on the basis of day works.</t>
  </si>
  <si>
    <t xml:space="preserve"> D2</t>
  </si>
  <si>
    <t xml:space="preserve"> The Contractor shall keep an accurate record of time spent and materials and plant and used on each separate instruction given.  Day work sheets are to be numbered and are to describe fully the instructions to which they refer and they are to be fully summarized fully priced and submitted to the Engineer for signature.  The submission of such day work sheets does not necessarily mean that the work will be valued under Clause 13.5 of the Conditions of Contract or that any payment is in fact due.</t>
  </si>
  <si>
    <t xml:space="preserve"> D3</t>
  </si>
  <si>
    <t xml:space="preserve"> Labour  1. The Tenderer shall give the rates herein required for labourers and craftsmen against each item stated. 2.The rates are to be comprehensive and include</t>
  </si>
  <si>
    <t xml:space="preserve"> Wages and all costs payments and charges including pensions annual and public holidays traveling time expenses fares and transport guaranteed time nonproductive time and other expenses in connection with overtime incentive and bonus payments dirty money and danger money and other disbursements arising from employment of labour including redundancy payment reduced working hours during Ramadhan all associated costs if labourers imported form other countries and workmens compensation insurance gratuity and all terminal benefits as per Oman labour Laws.</t>
  </si>
  <si>
    <t xml:space="preserve"> D4</t>
  </si>
  <si>
    <t xml:space="preserve"> Charges incurred in respect of site and office supervision including foreman�s time and extra emoluments paid to foreman and leading craftsmen and gangers.</t>
  </si>
  <si>
    <t xml:space="preserve"> D5</t>
  </si>
  <si>
    <t xml:space="preserve"> Site and Head Office overhead charges such as rent rates insurances electricity fuel water printing stationery postage telephone charges motor car expenses renewals maintenance and depreciation of premises machinery plant and the like.</t>
  </si>
  <si>
    <t xml:space="preserve"> D6</t>
  </si>
  <si>
    <t xml:space="preserve"> Profit</t>
  </si>
  <si>
    <t xml:space="preserve"> D7</t>
  </si>
  <si>
    <t xml:space="preserve"> Materials</t>
  </si>
  <si>
    <t xml:space="preserve"> Materials used in day works to be charged at invoice cost.  All discounts are to be allowed to the Ministry of Health.  Invoices are to be made available to the Engineer at the time the relevant day work sheets are submitted.</t>
  </si>
  <si>
    <t xml:space="preserve"> D8</t>
  </si>
  <si>
    <t xml:space="preserve"> The Contractor is to allow for additional percentage he requires to be added to the invoice cost of materials to cover for ordering taking delivery paying all insurances in transit landing charges dues custom duties Municipality tax and all other charges loading and transporting to the site taking into store storing as may be required and all other charges and profit.</t>
  </si>
  <si>
    <t xml:space="preserve"> D9</t>
  </si>
  <si>
    <t xml:space="preserve"> Plant  1. The Contractor shall give here the rates he requires for plant and machinery 2. The rates are to be comprehensive and include</t>
  </si>
  <si>
    <t xml:space="preserve"> Mobilization and demobilization costs</t>
  </si>
  <si>
    <t xml:space="preserve"> D10</t>
  </si>
  <si>
    <t xml:space="preserve"> Fuel oil lubricants and all other consumable stores.</t>
  </si>
  <si>
    <t xml:space="preserve"> D11</t>
  </si>
  <si>
    <t xml:space="preserve"> Servicing repairs and replacements.</t>
  </si>
  <si>
    <t xml:space="preserve"> D12</t>
  </si>
  <si>
    <t xml:space="preserve"> Site and Head Office overhead charges as previously defined.</t>
  </si>
  <si>
    <t xml:space="preserve"> D13</t>
  </si>
  <si>
    <t xml:space="preserve"> D14</t>
  </si>
  <si>
    <t xml:space="preserve"> Plant</t>
  </si>
  <si>
    <t xml:space="preserve"> The rates are to include for haulage to and from site and all other charges relating to plant and shall be exclusive of attendants and drivers who shall be charged at labour rates as set out above.</t>
  </si>
  <si>
    <t xml:space="preserve"> D15</t>
  </si>
  <si>
    <t xml:space="preserve"> If the Contractor is unable to price the particular type of plant listed he should price for the nearest equivalent item available to him and state what has been included in his tender.</t>
  </si>
  <si>
    <t xml:space="preserve"> D16</t>
  </si>
  <si>
    <t xml:space="preserve"> Labour</t>
  </si>
  <si>
    <t xml:space="preserve"> Labourers</t>
  </si>
  <si>
    <t xml:space="preserve"> Hr</t>
  </si>
  <si>
    <t xml:space="preserve"> 200</t>
  </si>
  <si>
    <t xml:space="preserve"> D17</t>
  </si>
  <si>
    <t xml:space="preserve"> Gangers</t>
  </si>
  <si>
    <t xml:space="preserve"> D18</t>
  </si>
  <si>
    <t xml:space="preserve"> Steelfixers</t>
  </si>
  <si>
    <t xml:space="preserve"> D19</t>
  </si>
  <si>
    <t xml:space="preserve"> Carpenters and Joiners</t>
  </si>
  <si>
    <t xml:space="preserve"> D20</t>
  </si>
  <si>
    <t xml:space="preserve"> Tile Layers</t>
  </si>
  <si>
    <t xml:space="preserve"> D21</t>
  </si>
  <si>
    <t xml:space="preserve"> Masons</t>
  </si>
  <si>
    <t xml:space="preserve"> D22</t>
  </si>
  <si>
    <t xml:space="preserve"> Painters</t>
  </si>
  <si>
    <t xml:space="preserve"> D23</t>
  </si>
  <si>
    <t xml:space="preserve"> Scaffolders</t>
  </si>
  <si>
    <t xml:space="preserve"> D24</t>
  </si>
  <si>
    <t xml:space="preserve"> Drainlayers</t>
  </si>
  <si>
    <t xml:space="preserve"> D25</t>
  </si>
  <si>
    <t xml:space="preserve"> Plumbers</t>
  </si>
  <si>
    <t xml:space="preserve"> D26</t>
  </si>
  <si>
    <t xml:space="preserve"> ElectriciansA.C. Mechanics</t>
  </si>
  <si>
    <t xml:space="preserve"> D27</t>
  </si>
  <si>
    <t xml:space="preserve"> Welders</t>
  </si>
  <si>
    <t xml:space="preserve"> D28</t>
  </si>
  <si>
    <t xml:space="preserve"> FabricatorsFitters</t>
  </si>
  <si>
    <t xml:space="preserve"> D29</t>
  </si>
  <si>
    <t xml:space="preserve"> Plant and Machinery Operators and Drivers</t>
  </si>
  <si>
    <t xml:space="preserve"> D30</t>
  </si>
  <si>
    <t xml:space="preserve"> Include the Provisional Sum of Rials Omani Ten Thousand RO. 10000.000 for the cost of Local Materials expended on Dayworks. These costs shall be charged at the nett price paid by the Contractor for the materials exsupplier as substantiated by the suppliers invoices.</t>
  </si>
  <si>
    <t xml:space="preserve"> D31</t>
  </si>
  <si>
    <t xml:space="preserve"> Include the Provisional Sum of Rials Omani Ten Thousand R.O. 10000.000 for the cost of Imported Materials expended on daywork. These costs shall be charged at the nett price paid by the Contractor for the materials delivered C.I.F. Oman as substantiated by the suppliers invoices.</t>
  </si>
  <si>
    <t xml:space="preserve"> D32</t>
  </si>
  <si>
    <t xml:space="preserve"> Contractors percentage on net cost of material  5 percent</t>
  </si>
  <si>
    <t xml:space="preserve"> D33</t>
  </si>
  <si>
    <t xml:space="preserve"> Portable compressors  Complete with hoses Delivery of free air Up to 4.6 Cumper minute</t>
  </si>
  <si>
    <t xml:space="preserve"> D34</t>
  </si>
  <si>
    <t xml:space="preserve"> Pneumatic hammer including steels</t>
  </si>
  <si>
    <t xml:space="preserve"> D35</t>
  </si>
  <si>
    <t xml:space="preserve"> Concrete Mixers</t>
  </si>
  <si>
    <t xml:space="preserve"> D36</t>
  </si>
  <si>
    <t xml:space="preserve"> Dumper up to 0.5 Cum bucket capacity</t>
  </si>
  <si>
    <t xml:space="preserve"> D37</t>
  </si>
  <si>
    <t xml:space="preserve"> Concrete vibrator poker 50mm diameter</t>
  </si>
  <si>
    <t xml:space="preserve"> D38</t>
  </si>
  <si>
    <t xml:space="preserve"> Excavators up to 0.5 Cum bucket capacity</t>
  </si>
  <si>
    <t xml:space="preserve"> D39</t>
  </si>
  <si>
    <t xml:space="preserve"> Generator sets 50 KVA</t>
  </si>
  <si>
    <t xml:space="preserve"> D40</t>
  </si>
  <si>
    <t xml:space="preserve"> Tipper truck 10 tonne</t>
  </si>
  <si>
    <t xml:space="preserve"> D41</t>
  </si>
  <si>
    <t xml:space="preserve"> Van or utility vehicle</t>
  </si>
  <si>
    <t xml:space="preserve"> D42</t>
  </si>
  <si>
    <t xml:space="preserve"> Three tonne pickup</t>
  </si>
  <si>
    <t xml:space="preserve"> D43</t>
  </si>
  <si>
    <t xml:space="preserve"> Water tanker 2000 gallon</t>
  </si>
  <si>
    <t xml:space="preserve"> D44</t>
  </si>
  <si>
    <t xml:space="preserve"> Excavator hydraulic full circle slew 1m3</t>
  </si>
  <si>
    <t xml:space="preserve"> D45</t>
  </si>
  <si>
    <t xml:space="preserve"> Mobile Crane 10 tonne</t>
  </si>
  <si>
    <t xml:space="preserve"> D46</t>
  </si>
  <si>
    <t xml:space="preserve"> Bulldozer 430hp</t>
  </si>
  <si>
    <t xml:space="preserve"> D47</t>
  </si>
  <si>
    <t xml:space="preserve"> Loader1.5m3</t>
  </si>
  <si>
    <t xml:space="preserve"> D48</t>
  </si>
  <si>
    <t xml:space="preserve"> Grader 200 hp</t>
  </si>
  <si>
    <t xml:space="preserve"> D49</t>
  </si>
  <si>
    <t xml:space="preserve"> Roller 4 tonne</t>
  </si>
  <si>
    <t xml:space="preserve"> D50</t>
  </si>
  <si>
    <t xml:space="preserve"> Welding set 300 A including electrodes</t>
  </si>
  <si>
    <t xml:space="preserve"> D51</t>
  </si>
  <si>
    <t xml:space="preserve"> Oxy acetylene cutting set including electrodes</t>
  </si>
  <si>
    <t xml:space="preserve"> D52</t>
  </si>
  <si>
    <t xml:space="preserve"> 2 inch  Water pump 5 hp</t>
  </si>
  <si>
    <t xml:space="preserve"> D53</t>
  </si>
  <si>
    <t xml:space="preserve"> 4 inch  Water pump 10 hp</t>
  </si>
  <si>
    <t xml:space="preserve"> D54</t>
  </si>
  <si>
    <t xml:space="preserve"> Employee  Staff</t>
  </si>
  <si>
    <t xml:space="preserve"> Project Manager</t>
  </si>
  <si>
    <t xml:space="preserve"> D55</t>
  </si>
  <si>
    <t xml:space="preserve"> Resident Project Engineer</t>
  </si>
  <si>
    <t xml:space="preserve"> D56</t>
  </si>
  <si>
    <t xml:space="preserve"> Resident Civil  Material Engineer</t>
  </si>
  <si>
    <t xml:space="preserve"> D57</t>
  </si>
  <si>
    <t xml:space="preserve"> Resident Electrical Engineer</t>
  </si>
  <si>
    <t xml:space="preserve"> D58</t>
  </si>
  <si>
    <t xml:space="preserve"> Resident Mechanical Engineer</t>
  </si>
  <si>
    <t xml:space="preserve"> D59</t>
  </si>
  <si>
    <t xml:space="preserve"> Resident Architecture Engineer Omani</t>
  </si>
  <si>
    <t xml:space="preserve"> D60</t>
  </si>
  <si>
    <t xml:space="preserve"> Resident Quantity Surveyor</t>
  </si>
  <si>
    <t xml:space="preserve"> D61</t>
  </si>
  <si>
    <t xml:space="preserve"> Resident Draftsman Omani</t>
  </si>
  <si>
    <t xml:space="preserve"> D62</t>
  </si>
  <si>
    <t xml:space="preserve"> Resident QA  QC</t>
  </si>
  <si>
    <t xml:space="preserve"> D63</t>
  </si>
  <si>
    <t xml:space="preserve"> Resident HSE Omani</t>
  </si>
  <si>
    <t xml:space="preserve"> D64</t>
  </si>
  <si>
    <t xml:space="preserve"> Cook</t>
  </si>
  <si>
    <t xml:space="preserve"> D65</t>
  </si>
  <si>
    <t xml:space="preserve"> Assistant to Cook</t>
  </si>
  <si>
    <t xml:space="preserve"> C1</t>
  </si>
  <si>
    <t xml:space="preserve"> General Works</t>
  </si>
  <si>
    <t xml:space="preserve"> Demolishing and Clearing the Construction Area</t>
  </si>
  <si>
    <t xml:space="preserve"> Demolishing the complete building and removing the debris from the Construction Site as per EngineerEmployer Instruction including cart away from the Project Site up to OGL</t>
  </si>
  <si>
    <t xml:space="preserve"> NO</t>
  </si>
  <si>
    <t xml:space="preserve"> C2</t>
  </si>
  <si>
    <t xml:space="preserve"> Substructure Works</t>
  </si>
  <si>
    <t xml:space="preserve"> Site Clearance</t>
  </si>
  <si>
    <t xml:space="preserve"> This shall include removing vegetation undergrowth bushes hedges trees other temporary buildings structures or the like all complete to clean the full plot.</t>
  </si>
  <si>
    <t xml:space="preserve"> C3</t>
  </si>
  <si>
    <t xml:space="preserve"> Earth work and Excavation</t>
  </si>
  <si>
    <t xml:space="preserve"> Bulk Excavation to receive foundations in any kind of soil including hard soil and rock earth sport underground surface or running water from whatever source if any for the new foundation building area including removal of old buildings foundations cleaning the site and removing all debris not suitable for backfilling from the project area to the damp yard contractor to prepare all areas to receive new foundation safely as per drawings and soil report.</t>
  </si>
  <si>
    <t xml:space="preserve"> M3</t>
  </si>
  <si>
    <t xml:space="preserve"> 15000</t>
  </si>
  <si>
    <t xml:space="preserve"> C4</t>
  </si>
  <si>
    <t xml:space="preserve"> Filling</t>
  </si>
  <si>
    <t xml:space="preserve"> Approved imported granular fill material compacted in layers in making up levels under floors</t>
  </si>
  <si>
    <t xml:space="preserve"> 4000</t>
  </si>
  <si>
    <t xml:space="preserve"> C5</t>
  </si>
  <si>
    <t xml:space="preserve"> Approved imported fill material compacted in layers to raise the levels</t>
  </si>
  <si>
    <t xml:space="preserve"> C6</t>
  </si>
  <si>
    <t xml:space="preserve"> Approved selected excavated material backfilled into excavations</t>
  </si>
  <si>
    <t xml:space="preserve"> 6000</t>
  </si>
  <si>
    <t xml:space="preserve"> C7</t>
  </si>
  <si>
    <t xml:space="preserve"> 200 mm thick well compacted hardcore filling under floors</t>
  </si>
  <si>
    <t xml:space="preserve"> 1040</t>
  </si>
  <si>
    <t xml:space="preserve"> C8</t>
  </si>
  <si>
    <t xml:space="preserve"> Anti termite treatment</t>
  </si>
  <si>
    <t xml:space="preserve"> Anti termite treatment to surfaces of ground or filling applied strictly in accordance with the manufacturers printed instructions including digging trenches backfilling etc. as required by the manufacturer and the provision of guarantee valid for 10 years</t>
  </si>
  <si>
    <t xml:space="preserve"> M2</t>
  </si>
  <si>
    <t xml:space="preserve"> 6200</t>
  </si>
  <si>
    <t xml:space="preserve"> C9</t>
  </si>
  <si>
    <t xml:space="preserve"> Poured Concrete Plain insitu concrete poured Ordinary Portland Cement OPC Concrete Grade C15 all in accordance with Drawings and Specifications and including Formwork to give as struck finish.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</si>
  <si>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 xml:space="preserve"> Blinding upto 100 mm thickness</t>
  </si>
  <si>
    <t xml:space="preserve"> 300</t>
  </si>
  <si>
    <t xml:space="preserve"> C10</t>
  </si>
  <si>
    <t xml:space="preserve"> Reinforced insitu concrete poured vibrated Sulphate Resistent Cement OPC Concrete Grade C30 all in accordance with Drawings and Specifications and including Reinforcement High yield strength deformed bars conforming to BS 4449 Grade 460 including cutting bending binding binding wire cover blocks tests and all necessary fixing accessories all in accordance with the Drawings and Specifications and including Formwork to give as struck finish.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</si>
  <si>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 xml:space="preserve"> Footings</t>
  </si>
  <si>
    <t xml:space="preserve"> 800</t>
  </si>
  <si>
    <t xml:space="preserve"> C11</t>
  </si>
  <si>
    <t xml:space="preserve"> Plinth beams</t>
  </si>
  <si>
    <t xml:space="preserve"> 600</t>
  </si>
  <si>
    <t xml:space="preserve"> C12</t>
  </si>
  <si>
    <t xml:space="preserve"> Reinforced insitu concrete poured vibrated Sulphate Resistent Cement OPC Concrete Grade C30 all in accordance with Drawings and Specifications and including Reinforcement High yield strength deformed bars conforming to BS 4449 Grade 460 including cutting bending binding binding wire cover blocks tests and all necessary fixing accessories all in accordance with the Drawings and Specifications and including Steel fabric reinforcement A 393 BRC mesh in two layers. All complete in accordance with the Drawings and Specifications and including Formwork to give as struck finish.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</si>
  <si>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 xml:space="preserve"> Beds Slabs Grade slabs upto 120 mm thickness</t>
  </si>
  <si>
    <t xml:space="preserve"> C13</t>
  </si>
  <si>
    <t xml:space="preserve"> Reinforced insitu concrete poured vibrated ordinary Portland Cement OPC Concrete Grade C40 all in accordance with Drawings and Specifications and including Reinforcement High yield strength deformed bars conforming to BS 4449 Grade 460 including cutting bending binding binding wire cover blocks tests and all necessary fixing accessories all in accordance with the Drawings and Specifications and including Formwork to give as struck finish.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</si>
  <si>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 xml:space="preserve"> Substructure columns</t>
  </si>
  <si>
    <t xml:space="preserve"> C14</t>
  </si>
  <si>
    <t xml:space="preserve"> Sundries  Concrete and Block work Protection</t>
  </si>
  <si>
    <t xml:space="preserve"> Polythene sheet gauge 1200 all in accordance with Drawings and Specifications  to surfaces of structural members in contact with soil</t>
  </si>
  <si>
    <t xml:space="preserve"> 8400</t>
  </si>
  <si>
    <t xml:space="preserve"> C15</t>
  </si>
  <si>
    <t xml:space="preserve"> Sundries Bitumenous Paint</t>
  </si>
  <si>
    <t xml:space="preserve"> Bitumenous Paint 3 coat to the surfaces of concrete</t>
  </si>
  <si>
    <t xml:space="preserve"> 10000</t>
  </si>
  <si>
    <t xml:space="preserve"> C16</t>
  </si>
  <si>
    <t xml:space="preserve"> Sundries Bitumenous Sheet</t>
  </si>
  <si>
    <t xml:space="preserve"> Bitumenous Sheet to the surfaces of concrete</t>
  </si>
  <si>
    <t xml:space="preserve"> 5200</t>
  </si>
  <si>
    <t xml:space="preserve"> C17</t>
  </si>
  <si>
    <t xml:space="preserve"> Sundries Block work Protection including Bitumenous Paint and Bitumenous Sheet</t>
  </si>
  <si>
    <t xml:space="preserve"> Protection to concrete masonryblock work in contact with soil 3 coats of approved bituminous paint bituminous sheet and including flexible board all in accordance with Drawings and Specifications  to surfaces of block work in contact with soil.</t>
  </si>
  <si>
    <t xml:space="preserve"> 22000</t>
  </si>
  <si>
    <t xml:space="preserve"> C18</t>
  </si>
  <si>
    <t xml:space="preserve"> Concrete solid block work 10.5N per mm2 compressive strength cement and sand mortar 1to3 with and including stiffener columns and stiffener beams as required all in accordance with Drawings and Specifications</t>
  </si>
  <si>
    <t xml:space="preserve"> 200mm thick walls</t>
  </si>
  <si>
    <t xml:space="preserve"> 11000</t>
  </si>
  <si>
    <t xml:space="preserve"> C19</t>
  </si>
  <si>
    <t xml:space="preserve"> The Contractor should read and quote as per the supply laying and all works are included and required approval and commissioning as per contract standards should be under the Contractor scope of work including required charges also including DNP scope and guarantees for material.</t>
  </si>
  <si>
    <t xml:space="preserve"> Important Note</t>
  </si>
  <si>
    <t xml:space="preserve"> C20</t>
  </si>
  <si>
    <t xml:space="preserve"> The Contractor is adviced to complete the project as per the drawing boq and specification also need to complete if anything missing in the drawing but mentioned in the boq and specification and viceversa. Should the Tenderer fail to insert any item here it will be deemed that this lump sum price for the tender includes all items and no subsequent claim for any additional items will be entertained</t>
  </si>
  <si>
    <t xml:space="preserve"> C21</t>
  </si>
  <si>
    <t xml:space="preserve"> The Contractor is to detail below any additional items with quantities and rates not previously included to complete the build up of the lump sum tender price for this section of the works. Should the Tenderer fail to insert any item here it will be deemed that this lump sum price for the tender includes all items and no subsequent claim for any additional items will be entertained</t>
  </si>
  <si>
    <t xml:space="preserve"> C22</t>
  </si>
  <si>
    <t xml:space="preserve"> Superstructure Works Concrete Works</t>
  </si>
  <si>
    <t xml:space="preserve"> Poured Concrete Reinforced insitu concrete poured vibrated Ordinary Portland Cement OPC concrete grade C30 all in accordance with the Drawings and Specifications and including Reinforcement High yield strength deformed bars conforming to BS 4449 Grade 460 including cutting bending binding binding wire cover blocks tests and all necessary fixing accessories all in accordance with the Drawings and Specifications and including Formwork to give as struck finish.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</si>
  <si>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 xml:space="preserve"> Suspended slabs waist slabs landingsstair etc. not exceeding 200 mm thickness</t>
  </si>
  <si>
    <t xml:space="preserve"> 1400</t>
  </si>
  <si>
    <t xml:space="preserve"> C23</t>
  </si>
  <si>
    <t xml:space="preserve"> Poured Concrete Reinforced insitu concrete poured vibrated Ordinary Portland Cement OPC Concrete Grade C30 all in accordance with the Drawings and Specifications and including Reinforcement High yield strength deformed bars conforming to BS 4449 Grade 460 including cutting bending binding binding wire cover blocks tests and all necessary fixing accessories all in accordance with the Drawings and Specifications and including Formwork to give as struck finish.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</si>
  <si>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 xml:space="preserve"> Columns</t>
  </si>
  <si>
    <t xml:space="preserve"> 380</t>
  </si>
  <si>
    <t xml:space="preserve"> C24</t>
  </si>
  <si>
    <t xml:space="preserve"> Beams</t>
  </si>
  <si>
    <t xml:space="preserve"> 650</t>
  </si>
  <si>
    <t xml:space="preserve"> C25</t>
  </si>
  <si>
    <t xml:space="preserve"> Ramp</t>
  </si>
  <si>
    <t xml:space="preserve"> C26</t>
  </si>
  <si>
    <t xml:space="preserve"> Sundries</t>
  </si>
  <si>
    <t xml:space="preserve"> GRC Mesh in the Duct 300 X 400 refer to the Architectural Drawing.</t>
  </si>
  <si>
    <t xml:space="preserve"> C27</t>
  </si>
  <si>
    <t xml:space="preserve"> GRC Mesh in the Duct 300 X 500 refer to the Architectural Drawing.</t>
  </si>
  <si>
    <t xml:space="preserve"> C28</t>
  </si>
  <si>
    <t xml:space="preserve"> GRC Mesh in the Duct 300 X 1000 refer to the Architectural Drawing.</t>
  </si>
  <si>
    <t xml:space="preserve"> C29</t>
  </si>
  <si>
    <t xml:space="preserve"> Planter box including excavation backfilling disposals blinding solid blockwork waterproofing plaster all complete of various size</t>
  </si>
  <si>
    <t xml:space="preserve"> No</t>
  </si>
  <si>
    <t xml:space="preserve"> C30</t>
  </si>
  <si>
    <t xml:space="preserve"> Superstructure Works  Masonry</t>
  </si>
  <si>
    <t xml:space="preserve"> Internal Walls Ordinary Portland cement concrete  blocks 7.5N per mm2 compressive strength cement and sand mortar 1to3 with and including stiffener columns and stiffener beams as required all in accordance with the Drawings and Specifications</t>
  </si>
  <si>
    <t xml:space="preserve"> 17400</t>
  </si>
  <si>
    <t xml:space="preserve"> C31</t>
  </si>
  <si>
    <t xml:space="preserve"> Sunken Slab Waterproofing</t>
  </si>
  <si>
    <t xml:space="preserve"> Providing and applying Sunken Slab Waterproof course with bituminous paint and bituminous membrane conforming to BSto6398 in horizontal joints laid strictly in compliance with approved manufacturers printed instructions and as directed by Engineer.</t>
  </si>
  <si>
    <t xml:space="preserve"> 700</t>
  </si>
  <si>
    <t xml:space="preserve"> C32</t>
  </si>
  <si>
    <t xml:space="preserve"> Roof Slab Waterproofing THERMAL AND MOISTURE PROTECTION COVERINGS AND LININGS</t>
  </si>
  <si>
    <t xml:space="preserve"> Combo roof treatment for thermal and moisture protection for open terraces by an approved expert agency complete with thermal and moisture resistant layers UV protection layer leveling course separation layers top finishes skirting with 250mm high etc. ensuring smooth runoff and with minimum 25 years of warranty.</t>
  </si>
  <si>
    <t xml:space="preserve"> C33</t>
  </si>
  <si>
    <t xml:space="preserve"> Superstructure Works Thermal and Moisture Protection</t>
  </si>
  <si>
    <t xml:space="preserve"> Backgrounds and Finishes Roof screed light weight concrete screed 1000 kg per m3 minimum 50 mm thick to a maximum of 125 mm thick</t>
  </si>
  <si>
    <t xml:space="preserve"> 50 mm minimum bed laid on concrete to falls and cross falls</t>
  </si>
  <si>
    <t xml:space="preserve"> 5600</t>
  </si>
  <si>
    <t xml:space="preserve"> C34</t>
  </si>
  <si>
    <t xml:space="preserve"> 4 mm thick torch applied acrylic polypropylene modified bitumen membrane with non woven polyester reinforcement and polyethylene film waterproof membrane including primer to roofs as per the manufacturer printed instructions complete as specified. Contractor to allow for 10 years guarantee and 24 hours flood test.</t>
  </si>
  <si>
    <t xml:space="preserve"> To roof decks 4mm thick on flat surface laid to falls and cross falls</t>
  </si>
  <si>
    <t xml:space="preserve"> C35</t>
  </si>
  <si>
    <t xml:space="preserve"> Skirting 300 mm girth including turning into groove</t>
  </si>
  <si>
    <t xml:space="preserve"> In up standsdrops and around plinths minimum 300 mm high including dressing over fillet  grooves sealant tantalized batten etc. complete to roof deck</t>
  </si>
  <si>
    <t xml:space="preserve"> M</t>
  </si>
  <si>
    <t xml:space="preserve"> 1900</t>
  </si>
  <si>
    <t xml:space="preserve"> C36</t>
  </si>
  <si>
    <t xml:space="preserve"> Insulation Extruded high density polystyrene foam board insulation with rigid closed cell structure all in accordance with the specifications and drawings in external</t>
  </si>
  <si>
    <t xml:space="preserve"> to roof decks  50 mm thick laid on concrete spot bonded to waterproofing</t>
  </si>
  <si>
    <t xml:space="preserve"> C37</t>
  </si>
  <si>
    <t xml:space="preserve"> Roof Finishes</t>
  </si>
  <si>
    <t xml:space="preserve"> 300 x 300 x 30 mm white cement tiles bedded on and including cement mortar screed to falls and cross falls jointed in cement mortar movements joints etc. complete  to roof</t>
  </si>
  <si>
    <t xml:space="preserve"> C38</t>
  </si>
  <si>
    <t xml:space="preserve"> 100 x 30 mm white cement skirting to upstands</t>
  </si>
  <si>
    <t xml:space="preserve"> C39</t>
  </si>
  <si>
    <t xml:space="preserve"> Roof Sundries</t>
  </si>
  <si>
    <t xml:space="preserve"> Allow for Providing dressing around 110mm 83mm UPVC rainwater outlets roof duct gargoyle extract fan soil and vent pipe</t>
  </si>
  <si>
    <t xml:space="preserve"> C40</t>
  </si>
  <si>
    <t xml:space="preserve"> Allow for gun applied sealant to seal the joints and groove as applicable and as specified.</t>
  </si>
  <si>
    <t xml:space="preserve"> C41</t>
  </si>
  <si>
    <t xml:space="preserve"> Superstructure Works Metal Works</t>
  </si>
  <si>
    <t xml:space="preserve"> WPC Pergola</t>
  </si>
  <si>
    <t xml:space="preserve"> Supply fabricate and install of WPC Pergola as per the approved Construction Drawing and refer to the Architectural Drawing for a highquality WPC Pergola waterproof and antimoisture. The Contractor should submit a detailed drawing of pergola approval 10 years guarantee..</t>
  </si>
  <si>
    <t xml:space="preserve"> C42</t>
  </si>
  <si>
    <t xml:space="preserve"> Staircase hand rail</t>
  </si>
  <si>
    <t xml:space="preserve"> Stainless steel handrail as shown in the Architectural drawing shop drawings with full sections details to be approved before supply. Note to all stainless steel material shall be of 316 grade.</t>
  </si>
  <si>
    <t xml:space="preserve"> C43</t>
  </si>
  <si>
    <t xml:space="preserve"> CAT Ladder</t>
  </si>
  <si>
    <t xml:space="preserve"> Supply and install a 3800mm high CAT steel Ladder as specified and detailed on the drawing with anticorrelation epoxy pain.</t>
  </si>
  <si>
    <t xml:space="preserve"> C44</t>
  </si>
  <si>
    <t xml:space="preserve"> Superstructure Works Doors and Windows</t>
  </si>
  <si>
    <t xml:space="preserve"> Wood Doors Note</t>
  </si>
  <si>
    <t xml:space="preserve"> 1 All timber and veneers shall be well conditioned seasoned dried vacuum treated and preservative treated all as specified</t>
  </si>
  <si>
    <t xml:space="preserve"> C45</t>
  </si>
  <si>
    <t xml:space="preserve"> 2 Prepare the surface prime and apply two under coats and two finishing coats of high gloss enamel paint of approved quality make and shade for shutter and frame</t>
  </si>
  <si>
    <t xml:space="preserve"> C46</t>
  </si>
  <si>
    <t xml:space="preserve"> 3 All hardwood timber shall be best quality Meranti</t>
  </si>
  <si>
    <t xml:space="preserve"> C47</t>
  </si>
  <si>
    <t xml:space="preserve"> 4 Sizes stated are structural opening sizes</t>
  </si>
  <si>
    <t xml:space="preserve"> C48</t>
  </si>
  <si>
    <t xml:space="preserve"> Wood Doors Door comprising profiled heads jambs frames subframes architraves beadings mouldings plinth block ply linings infill panels mastic and other pointing fixings neoprene seal master lining and all ancillary items including fixing of ironmongery and final decoration for a complete installation all as specified and as detailed on drawing including required reinforcement cement concrete lintels and including Supply and fix ironmongery as specified in schedule and approved fixed to hardwood including paint All locks shall be under master key system as detailed on drawing Note All stainless steel fittings shall be of 316 grade</t>
  </si>
  <si>
    <t xml:space="preserve"> Type D1 double leaf overall size 1800x2400mm high</t>
  </si>
  <si>
    <t xml:space="preserve"> C49</t>
  </si>
  <si>
    <t xml:space="preserve"> Type D2 single leaf overall size 1000x2400mm high</t>
  </si>
  <si>
    <t xml:space="preserve"> C50</t>
  </si>
  <si>
    <t xml:space="preserve"> Type D3 single leaf overall size 1000x2100mm high</t>
  </si>
  <si>
    <t xml:space="preserve"> 160</t>
  </si>
  <si>
    <t xml:space="preserve"> C51</t>
  </si>
  <si>
    <t xml:space="preserve"> Type D4 single leaf overall size 800x2100mm high</t>
  </si>
  <si>
    <t xml:space="preserve"> C52</t>
  </si>
  <si>
    <t xml:space="preserve"> Type D5 single leaf overall size 1000x2100mm high</t>
  </si>
  <si>
    <t xml:space="preserve"> C53</t>
  </si>
  <si>
    <t xml:space="preserve"> Type D6 single leaf overall size 1000x2400mm high</t>
  </si>
  <si>
    <t xml:space="preserve"> C54</t>
  </si>
  <si>
    <t xml:space="preserve"> WPC Solid Core Doors Door comprising profiled heads jambs frames subframes architraves beadings mouldings plinth block ply linings infill panels mastic and other pointing fixings neoprene seal master lining and all ancillary items including fixing of ironmongery and final decoration for a complete installation all as specified and as detailed on drawing including required reinforcement cement concrete lintels and including Supply and fix ironmongery as specified in schedule and approved fixed to hardwood including paint All locks shall be under master key system as detailed on drawing Note All stainless steel fittings shall be of 316 grade.</t>
  </si>
  <si>
    <t xml:space="preserve"> C55</t>
  </si>
  <si>
    <t xml:space="preserve"> C56</t>
  </si>
  <si>
    <t xml:space="preserve"> C57</t>
  </si>
  <si>
    <t xml:space="preserve"> C58</t>
  </si>
  <si>
    <t xml:space="preserve"> C59</t>
  </si>
  <si>
    <t xml:space="preserve"> C60</t>
  </si>
  <si>
    <t xml:space="preserve"> Ironmongery  Supply and fix of ironmongery with and including all necessary fixing accessories and screws to match all in accordance with the specifications and drawings  to wood doors</t>
  </si>
  <si>
    <t xml:space="preserve"> Allow for grand master key and master key system</t>
  </si>
  <si>
    <t xml:space="preserve"> C61</t>
  </si>
  <si>
    <t xml:space="preserve"> UPVC windows  window sets complete with all necessary ironmongery as specified including fixing to blockwork or concrete and mastic pointing all around all as specified and detailed on drawing and including required reinforcement cement concrete lintels</t>
  </si>
  <si>
    <t xml:space="preserve"> Type W1 overall size 2000 x 1300mm high</t>
  </si>
  <si>
    <t xml:space="preserve"> C62</t>
  </si>
  <si>
    <t xml:space="preserve"> Type W2 overall size 1200 x 900mm high</t>
  </si>
  <si>
    <t xml:space="preserve"> C63</t>
  </si>
  <si>
    <t xml:space="preserve"> Type W3 overall size 600 x 1300mm high</t>
  </si>
  <si>
    <t xml:space="preserve"> C64</t>
  </si>
  <si>
    <t xml:space="preserve"> Type W4 overall size 1000 x 3700mm high</t>
  </si>
  <si>
    <t xml:space="preserve"> C65</t>
  </si>
  <si>
    <t xml:space="preserve"> UPVC ventilator  ventilator sets complete with all necessary ironmongery as specified including fixing to blockwork or concrete and mastic pointing all around all as specified and detailed on drawing and including required reinforcement cement concrete lintels</t>
  </si>
  <si>
    <t xml:space="preserve"> Type V overall size 600 x 600mm high</t>
  </si>
  <si>
    <t xml:space="preserve"> C66</t>
  </si>
  <si>
    <t xml:space="preserve"> Superstructure Works Finishes</t>
  </si>
  <si>
    <t xml:space="preserve"> Backgrounds  Plaster cement and sand 1to3 internal  To walls and columns on concrete block base internal including stainsteel mesh butterfly angle between the concrete column and block work.</t>
  </si>
  <si>
    <t xml:space="preserve"> to receive internal painting</t>
  </si>
  <si>
    <t xml:space="preserve"> 16200</t>
  </si>
  <si>
    <t xml:space="preserve"> C67</t>
  </si>
  <si>
    <t xml:space="preserve"> Backgrounds  Plaster cement and sand 1to4 external  To walls and columns on concrete block base external including stainsteel mesh butterfly angle between the concrete column and block work.</t>
  </si>
  <si>
    <t xml:space="preserve"> to receive external painting</t>
  </si>
  <si>
    <t xml:space="preserve"> 14000</t>
  </si>
  <si>
    <t xml:space="preserve"> C68</t>
  </si>
  <si>
    <t xml:space="preserve"> Allow for laying of Marble Threshold as per the specifications drawings and to approval of the Engineer.</t>
  </si>
  <si>
    <t xml:space="preserve"> Internal Floor Tile</t>
  </si>
  <si>
    <t xml:space="preserve"> C69</t>
  </si>
  <si>
    <t xml:space="preserve"> Floor Tilesto FF1 Ceramic floor tiles laid on screed grouted with waterproof coloured compatible mortar to manufacturers specificationinstruction; internally</t>
  </si>
  <si>
    <t xml:space="preserve"> 600 x 600 x 8 mm AntiSlip tiling to floor</t>
  </si>
  <si>
    <t xml:space="preserve"> 3700</t>
  </si>
  <si>
    <t xml:space="preserve"> C70</t>
  </si>
  <si>
    <t xml:space="preserve"> Floor Tilesto FF2 Ceramic floor tiles laid on screed grouted with waterproof coloured compatible mortar to manufacturers specificationinstruction; internally</t>
  </si>
  <si>
    <t xml:space="preserve"> 550</t>
  </si>
  <si>
    <t xml:space="preserve"> C71</t>
  </si>
  <si>
    <t xml:space="preserve"> Floor Tilesto FF3 Ceramic floor tiles laid on screed grouted with waterproof coloured compatible mortar to manufacturers specificationinstruction; internally</t>
  </si>
  <si>
    <t xml:space="preserve"> C72</t>
  </si>
  <si>
    <t xml:space="preserve"> Floor Tilesto FF4 30mm tk. Granite laid on screed grouted with waterproof coloured compatible mortar to manufacturers specificationinstruction; internally</t>
  </si>
  <si>
    <t xml:space="preserve"> 30mm thick Granite for Staircase and Steps</t>
  </si>
  <si>
    <t xml:space="preserve"> C73</t>
  </si>
  <si>
    <t xml:space="preserve"> Floor Tilesto FF5 20mm tk. Granite laid on screed grouted with waterproof coloured compatible mortar to manufacturers specificationinstruction; internally</t>
  </si>
  <si>
    <t xml:space="preserve"> 20mm tk. Granite Tiles alternative bands of rough  smooth coping both sides</t>
  </si>
  <si>
    <t xml:space="preserve"> 500</t>
  </si>
  <si>
    <t xml:space="preserve"> C74</t>
  </si>
  <si>
    <t xml:space="preserve"> Floor Tilesto FF6 80mm tk. Interlock tiles laid on screed grouted with waterproof coloured compatible mortar to manufacturers specificationinstruction; internally</t>
  </si>
  <si>
    <t xml:space="preserve"> 80mm tk. Heavy Duty Interlock Tile</t>
  </si>
  <si>
    <t xml:space="preserve"> C75</t>
  </si>
  <si>
    <t xml:space="preserve"> Floor Tilesto FF7 Porcelain tiles laid on screed grouted with waterproof coloured compatible mortar to manufacturers specificationinstruction; internally</t>
  </si>
  <si>
    <t xml:space="preserve"> Porcelain Tiles 600 X 600 X 20</t>
  </si>
  <si>
    <t xml:space="preserve"> C76</t>
  </si>
  <si>
    <t xml:space="preserve"> Floor Tilesto FF9 Granite tiles laid on screed grouted with waterproof coloured compatible mortar to manufacturers specificationinstruction; internally</t>
  </si>
  <si>
    <t xml:space="preserve"> 30mm thick Granite for Entrance floor and Staircase and Steps</t>
  </si>
  <si>
    <t xml:space="preserve"> C77</t>
  </si>
  <si>
    <t xml:space="preserve"> Skirting Tilesto FF1 Ceramic tiles laid on screed grouted with waterproof coloured compatible mortar to manufacturers specificationinstruction; internally</t>
  </si>
  <si>
    <t xml:space="preserve"> Ceramic Tiles 600 X 150 X 8 Anti Slip</t>
  </si>
  <si>
    <t xml:space="preserve"> 3800</t>
  </si>
  <si>
    <t xml:space="preserve"> C78</t>
  </si>
  <si>
    <t xml:space="preserve"> Skirting Tilesto FF4 30mm tk. Granite laid on screed grouted with waterproof coloured compatible mortar to manufacturers specificationinstruction; internally</t>
  </si>
  <si>
    <t xml:space="preserve"> C79</t>
  </si>
  <si>
    <t xml:space="preserve"> Allow for construction of Decorative projection weather coat  stoneshield with 10 years garantee as per the specifications drawings and to approval of the Engineer</t>
  </si>
  <si>
    <t xml:space="preserve"> External Elevation</t>
  </si>
  <si>
    <t xml:space="preserve"> C80</t>
  </si>
  <si>
    <t xml:space="preserve"> F1F2 External Elevation</t>
  </si>
  <si>
    <t xml:space="preserve"> 11600</t>
  </si>
  <si>
    <t xml:space="preserve"> C81</t>
  </si>
  <si>
    <t xml:space="preserve"> Allow for construction of Decorative projection as per the specifications drawings and to approval of the Engineer</t>
  </si>
  <si>
    <t xml:space="preserve"> F3 External Elevation</t>
  </si>
  <si>
    <t xml:space="preserve"> 2400</t>
  </si>
  <si>
    <t xml:space="preserve"> C82</t>
  </si>
  <si>
    <t xml:space="preserve"> Wall Finishes  FF1 Painting and decorating Eligance marble paint finish internal</t>
  </si>
  <si>
    <t xml:space="preserve"> Smooth Plaster Painting Anti Fungal and Water Resistance</t>
  </si>
  <si>
    <t xml:space="preserve"> 12200</t>
  </si>
  <si>
    <t xml:space="preserve"> C83</t>
  </si>
  <si>
    <t xml:space="preserve"> Wall Finishes  FF2 Ceramic Tiles 600 X 200 X 8 Anti Slip</t>
  </si>
  <si>
    <t xml:space="preserve"> Ceramic Tiles 600 X 200 X 20 Anti Slip</t>
  </si>
  <si>
    <t xml:space="preserve"> 1700</t>
  </si>
  <si>
    <t xml:space="preserve"> C84</t>
  </si>
  <si>
    <t xml:space="preserve"> Wall Finishes  FF3 Ceramic Tiles 600 X 200 X 8 Anti Slip</t>
  </si>
  <si>
    <t xml:space="preserve"> 3600</t>
  </si>
  <si>
    <t xml:space="preserve"> C85</t>
  </si>
  <si>
    <t xml:space="preserve"> Ceilings Finishes  FF1 Painting and decoratingEligance marble paint finish internal</t>
  </si>
  <si>
    <t xml:space="preserve"> C86</t>
  </si>
  <si>
    <t xml:space="preserve"> Ceilings Finishes  FF2 Smooth Plaster PaintingEligance marble paint finish Anti Fungal and Water Resistance</t>
  </si>
  <si>
    <t xml:space="preserve"> C87</t>
  </si>
  <si>
    <t xml:space="preserve"> Ceilings Finishes  FF3 Smooth Plaster Painting Eligance marble paint finish Anti Fungal and Water Resistance</t>
  </si>
  <si>
    <t xml:space="preserve"> C88</t>
  </si>
  <si>
    <t xml:space="preserve"> Ceilings Finishes  FF4 Smooth Plaster Painting Eligance marble paint finish Anti Fungal and Water Resistance</t>
  </si>
  <si>
    <t xml:space="preserve"> C89</t>
  </si>
  <si>
    <t xml:space="preserve"> Allow for supply fabricate and installation of Gas Cyclinder Stage as per the specifications drawings and to approval of the Engineer.</t>
  </si>
  <si>
    <t xml:space="preserve"> Gas Cylinder Stage</t>
  </si>
  <si>
    <t xml:space="preserve"> C90</t>
  </si>
  <si>
    <t xml:space="preserve"> Allow for corecut remove and smooth finish as per the specifications drawings and to approval of the Engineer.</t>
  </si>
  <si>
    <t xml:space="preserve"> Drain Open to connect Sewage Tanker to the Holding Tank size 550 X 400mm</t>
  </si>
  <si>
    <t xml:space="preserve"> C91</t>
  </si>
  <si>
    <t xml:space="preserve"> Allow for supply fabricate and installation of water point protection as per the specifications drawings and to approval of the Engineer.</t>
  </si>
  <si>
    <t xml:space="preserve"> Water point protection</t>
  </si>
  <si>
    <t xml:space="preserve"> C92</t>
  </si>
  <si>
    <t xml:space="preserve"> Allow for supply fabricate and installation of Meter Panel protection as per the specifications drawings and to approval of the Engineer.</t>
  </si>
  <si>
    <t xml:space="preserve"> Meter Panel protection</t>
  </si>
  <si>
    <t xml:space="preserve"> C93</t>
  </si>
  <si>
    <t xml:space="preserve"> Allow for supply fabricate and installation of Kitchen Stage including Stage Concrete Stage Korean Top and Stage Area Ceramic Wall Tile as per the specifications drawings and to approval of the Engineer.</t>
  </si>
  <si>
    <t xml:space="preserve"> Kitchen Stage Concrete Korean Top Ceramic Wall Tiles</t>
  </si>
  <si>
    <t xml:space="preserve"> C94</t>
  </si>
  <si>
    <t xml:space="preserve"> Allow for supply fabricate and installation of Kitchen Hood Range including Aluminum Kitchen Cabinet above and Aluminum Kitchen Cabinet below all as per the specifications drawings and to approval of the Engineer.</t>
  </si>
  <si>
    <t xml:space="preserve"> Kitchen Hood Range Cabinet above and below Cabinet.</t>
  </si>
  <si>
    <t xml:space="preserve"> C95</t>
  </si>
  <si>
    <t xml:space="preserve"> The Contractor should read and quote as per the supply laying and all works are included and required approval  commissioning as per contract standards should be under the Contractor scope of work including required charges also including DNP scope and guarantees for material.</t>
  </si>
  <si>
    <t xml:space="preserve"> C96</t>
  </si>
  <si>
    <t xml:space="preserve"> The Contractor is adviced to complete the project as per the drawing boq and specification also need to complete if anything missing in the drawing but mentioned in the boqspecification and viceversa. Should the Tenderer fail to insert any item here it will be deemed that this lump sum price for the tender includes all items and no subsequent claim for any additional items will be entertained</t>
  </si>
  <si>
    <t xml:space="preserve"> C97</t>
  </si>
  <si>
    <t xml:space="preserve"> Sanitary Installation</t>
  </si>
  <si>
    <t xml:space="preserve"> UPVC pipes to BS 4514 1983 and BS 4660 1973 including all joints and accessories and brackets</t>
  </si>
  <si>
    <t xml:space="preserve"> UPVC drain pipes to BS 4514 1983 and BS 4660 1973 including all joints with ring seals  fittings and accessories in the running length.</t>
  </si>
  <si>
    <t xml:space="preserve"> 160mm diamater</t>
  </si>
  <si>
    <t xml:space="preserve"> 1120</t>
  </si>
  <si>
    <t xml:space="preserve"> 110mm diamater</t>
  </si>
  <si>
    <t xml:space="preserve"> 320</t>
  </si>
  <si>
    <t xml:space="preserve"> 82mm diameter</t>
  </si>
  <si>
    <t xml:space="preserve"> 50mm diameter</t>
  </si>
  <si>
    <t xml:space="preserve"> 580</t>
  </si>
  <si>
    <t xml:space="preserve"> 42mm diameter</t>
  </si>
  <si>
    <t xml:space="preserve"> vent cowl</t>
  </si>
  <si>
    <t xml:space="preserve"> Vent cowl with weathering apron  50mm diameter</t>
  </si>
  <si>
    <t xml:space="preserve"> Floor Drain trap</t>
  </si>
  <si>
    <t xml:space="preserve"> Floor Trap with 150 X 150 mm SS grating Cover</t>
  </si>
  <si>
    <t xml:space="preserve"> Gully Trap</t>
  </si>
  <si>
    <t xml:space="preserve"> 300 mm and 300 mm gully trap of approximate 300 mm depth set in concrete Grade 30 Nmm� joints to drain pipes complete with 300 mm and 300 mm medium duty cast iron cover and frame.</t>
  </si>
  <si>
    <t xml:space="preserve"> Inspection Chambers</t>
  </si>
  <si>
    <t xml:space="preserve"> Manhole size 600 and 600 mm internally upto 1.30m deep to invert</t>
  </si>
  <si>
    <t xml:space="preserve"> 185</t>
  </si>
  <si>
    <t xml:space="preserve"> Manhole Cover</t>
  </si>
  <si>
    <t xml:space="preserve"> 600 and 600 mm medium duty double seal cast iron manhole cover and frame.</t>
  </si>
  <si>
    <t xml:space="preserve"> Holding tank with soak pit</t>
  </si>
  <si>
    <t xml:space="preserve"> Reinforced concrete grade 30 N mm2 holding tank size 4000 and 2000 and 2500 mm deep internally with concrete grade 15 N mm2 and 100mm thick blinding and 250mm thick concrete base slab and 200mm thick concrete wall and roof slab and  including reinforcement and formwork and rendering and step irons and 3 coats of bitumen paint and 2 layer of 1000 gauge polythene sheet and excavation and dewatering backfilling and disposal of surplus excavated materials and 600 and 600 mm heavy duty double seal ductile iron cover and frame and Precast concrete soak pit size 2000 mm diameter and 2500 mm deep internally including reinforcement and excavation and dewatering and backfilling and disposal of surplus excavated materials 600 and 600 mm heavy duty ductile iron cover and frame et as detailed on drawing.</t>
  </si>
  <si>
    <t xml:space="preserve"> Sanitary Wares and Fittings</t>
  </si>
  <si>
    <t xml:space="preserve"> Semi pedestal wash basin</t>
  </si>
  <si>
    <t xml:space="preserve"> 650 mm and 475 mm vitreous china white wash basin with semi pedestal and center tap hole and overflow and bottle trap including required complete Civil Works.</t>
  </si>
  <si>
    <t xml:space="preserve"> Counter top wash basin</t>
  </si>
  <si>
    <t xml:space="preserve"> 630 mm and  510 mm vitreous china white counter top wash basin and center tap hole and overflow and bottle trap including required complete Civil Works.</t>
  </si>
  <si>
    <t xml:space="preserve"> Stainless Steel Sink</t>
  </si>
  <si>
    <t xml:space="preserve"> 1000 mm  and 550 mm stainless steel sink single bowl single drainer with drainboard to BS 1244 complete with 2 piece tubular P trap chain and plug and waste and brackets including required complete Civil Works.</t>
  </si>
  <si>
    <t xml:space="preserve"> European Water Closet</t>
  </si>
  <si>
    <t xml:space="preserve"> 400 mm and 685 mm vitreous china white concealed tank wall hung mounted EWC squatting pan built in wall toilet dual flush 3L or 6L concealed cistern and heavy duty auto closed seat and cover including required complete Civil Works.</t>
  </si>
  <si>
    <t xml:space="preserve"> Faucet spray</t>
  </si>
  <si>
    <t xml:space="preserve"> Chromium plated approved ablution faucet with angle valve and hose and spray unit.</t>
  </si>
  <si>
    <t xml:space="preserve"> Wash Basin Mixer</t>
  </si>
  <si>
    <t xml:space="preserve"> Single lever chrome plated wash basin mixer including pop up waste.</t>
  </si>
  <si>
    <t xml:space="preserve"> 180</t>
  </si>
  <si>
    <t xml:space="preserve"> Sink Mixer</t>
  </si>
  <si>
    <t xml:space="preserve"> Single lever chrome plated Sink mixer.</t>
  </si>
  <si>
    <t xml:space="preserve"> Toilet tissue holder</t>
  </si>
  <si>
    <t xml:space="preserve"> Recessed type stainless steel Toilet tissue dispenser or holder with stainless steel hood.</t>
  </si>
  <si>
    <t xml:space="preserve"> Towel rail</t>
  </si>
  <si>
    <t xml:space="preserve"> 610 and 75 and 75 mm towel rail</t>
  </si>
  <si>
    <t xml:space="preserve"> 140</t>
  </si>
  <si>
    <t xml:space="preserve"> Mirror</t>
  </si>
  <si>
    <t xml:space="preserve"> 450 and 600 mm mirror 6 mm thick and bevel edged and plywood backing fixed with chromium plated dome headed screws</t>
  </si>
  <si>
    <t xml:space="preserve"> 120</t>
  </si>
  <si>
    <t xml:space="preserve"> Bath shower</t>
  </si>
  <si>
    <t xml:space="preserve"> Single lever dual control bath shower mixer</t>
  </si>
  <si>
    <t xml:space="preserve"> Bip tap</t>
  </si>
  <si>
    <t xml:space="preserve"> For internal and external.</t>
  </si>
  <si>
    <t xml:space="preserve"> Sanitary Installation AC DRAIN SYSTEM</t>
  </si>
  <si>
    <t xml:space="preserve"> NOTE</t>
  </si>
  <si>
    <t xml:space="preserve"> HPUPVC pipes and fittings to BS 3505 Class E including all joints and connections and fittings.</t>
  </si>
  <si>
    <t xml:space="preserve"> Hpupvc pipe</t>
  </si>
  <si>
    <t xml:space="preserve"> 25 mm diameter pipe for air conditioner drainage pipe to ac drain pit.</t>
  </si>
  <si>
    <t xml:space="preserve"> 1230</t>
  </si>
  <si>
    <t xml:space="preserve"> Water Supply installation</t>
  </si>
  <si>
    <t xml:space="preserve"> Polypropylene random copolymer pipe NOTE</t>
  </si>
  <si>
    <t xml:space="preserve"> Polypropylene random copolymer pipes and fittings and cold and hot water connections to international standard ISO EN ISO 15874  2003 and DIN 80777  8078 including up stand and brackets exposed insulation as per Specification in running length and 25mm thick rigid performed sectional fiber glass insulation with aluminum foil and fiber glass reinforced adhesive and  canvas Cora cloth with 2 coats of foster paint one coat of water proof emulsion glossy white paint and vapour barrier coating as described.</t>
  </si>
  <si>
    <t xml:space="preserve"> Cold and Hot water PPR C pipes with insulation</t>
  </si>
  <si>
    <t xml:space="preserve"> 15 mm diameter</t>
  </si>
  <si>
    <t xml:space="preserve"> 20 mm diameter</t>
  </si>
  <si>
    <t xml:space="preserve"> 2200</t>
  </si>
  <si>
    <t xml:space="preserve"> 25 mm diameter</t>
  </si>
  <si>
    <t xml:space="preserve"> 32 mm diameter</t>
  </si>
  <si>
    <t xml:space="preserve"> 1600</t>
  </si>
  <si>
    <t xml:space="preserve"> 40 mm diameter</t>
  </si>
  <si>
    <t xml:space="preserve"> 1000</t>
  </si>
  <si>
    <t xml:space="preserve"> 50 mm diameter</t>
  </si>
  <si>
    <t xml:space="preserve"> Cold and Hot water  Valves</t>
  </si>
  <si>
    <t xml:space="preserve"> Supply and install the following Isolating valves to BS 5154 series B bronze and wedge gate pattern and screwed joints with adaptor to pipes etc wherever shown in drawings and or specified and as approved by the Engineer.</t>
  </si>
  <si>
    <t xml:space="preserve"> 400</t>
  </si>
  <si>
    <t xml:space="preserve"> 32 mm diameter isolating value</t>
  </si>
  <si>
    <t xml:space="preserve"> Equipment and Accessories Note</t>
  </si>
  <si>
    <t xml:space="preserve"> Equipment and accessories as specified including all connections and fittings</t>
  </si>
  <si>
    <t xml:space="preserve"> Water Tank</t>
  </si>
  <si>
    <t xml:space="preserve"> 600 US gallon capacity GRP type water storage tank with foundation epoxy coated frame ball valve overflows etc to approval</t>
  </si>
  <si>
    <t xml:space="preserve"> Water Heater</t>
  </si>
  <si>
    <t xml:space="preserve"> 50 liter capacity horizontal type  copper tank high level wall mounted electrical water heater including all connections and fixing.</t>
  </si>
  <si>
    <t xml:space="preserve"> Booster pump</t>
  </si>
  <si>
    <t xml:space="preserve"> Cold water pressurised booster pump set 1No Working pump and 1No standby pump for domestic water supply delivering 2 l per sec at 2.5 bar with Gate valve and Non return valve and float switch and pressue guage and pressure vessel 30 to 50 lit PN10 and water low level cut off relay etc  with  pump room all complete as detailed in the drawing to approval.</t>
  </si>
  <si>
    <t xml:space="preserve"> RAIN WATER SYSTEM Rain Water Installation</t>
  </si>
  <si>
    <t xml:space="preserve"> Rain Water UPVC Pipes</t>
  </si>
  <si>
    <t xml:space="preserve"> UPVC pipes to BS 4514 or 1983 including all joints and fittings and accessories and connections and brackets</t>
  </si>
  <si>
    <t xml:space="preserve"> m</t>
  </si>
  <si>
    <t xml:space="preserve"> Rain water Outlet</t>
  </si>
  <si>
    <t xml:space="preserve"> 110 mm diameter root terminal socket tail rain water outlet.</t>
  </si>
  <si>
    <t xml:space="preserve"> Plumbing and Drainage System</t>
  </si>
  <si>
    <t xml:space="preserve"> Allow for working drawings and asbuilt drawings.</t>
  </si>
  <si>
    <t xml:space="preserve"> Allow for all supports plinths and dog houses and necessary builder s work after obtaining approval through shop drawings including setting out and marking holes and chases cut outs etc  and making good.</t>
  </si>
  <si>
    <t xml:space="preserve"> Allow for all protective and decorative painting.</t>
  </si>
  <si>
    <t xml:space="preserve"> Allow for providing Test Certificates</t>
  </si>
  <si>
    <t xml:space="preserve"> Allow for co ordination with other Engineering Installations.</t>
  </si>
  <si>
    <t xml:space="preserve"> Allow for testing and commissioning of underground cable prior to and after backfilling.</t>
  </si>
  <si>
    <t xml:space="preserve"> Allow for OandM Manual</t>
  </si>
  <si>
    <t xml:space="preserve"> Allow for sterilization of all pipes and over head tanks etc.</t>
  </si>
  <si>
    <t xml:space="preserve"> Allow for spare parts for three years as per manufacturers recommendation.</t>
  </si>
  <si>
    <t xml:space="preserve"> Allow for training OandM staff.</t>
  </si>
  <si>
    <t xml:space="preserve"> Allow for any other activity not listed above.</t>
  </si>
  <si>
    <t xml:space="preserve"> F1</t>
  </si>
  <si>
    <t xml:space="preserve"> Fire Fighting Installation</t>
  </si>
  <si>
    <t xml:space="preserve"> Supply and install a complete fire fighting system to the approval of the Civil Defence Authorities and complete with association and fitting as shown in drawings or specified in accordance with BS 530 Part 1 1976 and Part 3 1985 and to approval of the Engineer.</t>
  </si>
  <si>
    <t xml:space="preserve"> F2</t>
  </si>
  <si>
    <t xml:space="preserve"> Fire hose reel</t>
  </si>
  <si>
    <t xml:space="preserve"> 1.5 mm thick Electro static powder coated painted stainless steel recessed type fire hose reel cabinet with 25 mm diameter hose reel and 45 meter long including 1 No. 9 litter foam type fire extinguisher and 1 No 5Kg carbon dioxide type fire extinguisher with civil defence final approval certificate.</t>
  </si>
  <si>
    <t xml:space="preserve"> F3</t>
  </si>
  <si>
    <t xml:space="preserve"> outlet</t>
  </si>
  <si>
    <t xml:space="preserve"> Wet riser outlet with valve assembly</t>
  </si>
  <si>
    <t xml:space="preserve"> F4</t>
  </si>
  <si>
    <t xml:space="preserve"> valve</t>
  </si>
  <si>
    <t xml:space="preserve"> Zonal control valve assembly</t>
  </si>
  <si>
    <t xml:space="preserve"> F5</t>
  </si>
  <si>
    <t xml:space="preserve"> inlet</t>
  </si>
  <si>
    <t xml:space="preserve"> Breaching inlet</t>
  </si>
  <si>
    <t xml:space="preserve"> F6</t>
  </si>
  <si>
    <t xml:space="preserve"> Fire Extinguisher</t>
  </si>
  <si>
    <t xml:space="preserve"> 2 Kg carbon dioxide fire extinguisher</t>
  </si>
  <si>
    <t xml:space="preserve"> F7</t>
  </si>
  <si>
    <t xml:space="preserve"> 180 and 180 mm fire blanket</t>
  </si>
  <si>
    <t xml:space="preserve"> F8</t>
  </si>
  <si>
    <t xml:space="preserve"> Fire alarm cable and conduits and panel and accessories installation</t>
  </si>
  <si>
    <t xml:space="preserve"> Automatic Multi detector point</t>
  </si>
  <si>
    <t xml:space="preserve"> G1</t>
  </si>
  <si>
    <t xml:space="preserve"> Gas supply line</t>
  </si>
  <si>
    <t xml:space="preserve"> Gas line</t>
  </si>
  <si>
    <t xml:space="preserve"> Supply and fix 18 mm diameter MS schedule 40 gas pipeline including pickup points and connection to Gas Stove</t>
  </si>
  <si>
    <t xml:space="preserve"> M1</t>
  </si>
  <si>
    <t xml:space="preserve"> Air Conditioning and Ventilation Installation</t>
  </si>
  <si>
    <t xml:space="preserve"> High level Wall mounted Split AC with DX unit</t>
  </si>
  <si>
    <t xml:space="preserve"> 18000 BTU HR capacity high level wall mounted split type air conditioner including connection to electrical outlet and concrete base foundation.</t>
  </si>
  <si>
    <t xml:space="preserve"> 30000 BTU HR capacity high level wall mounted split type air conditioner including connection to electrical outlet and concrete base foundation.</t>
  </si>
  <si>
    <t xml:space="preserve"> 36000 BTU HR capacity high level wall mounted split type air conditioner including connection to electrical outlet and concrete base foundation.</t>
  </si>
  <si>
    <t xml:space="preserve"> M4</t>
  </si>
  <si>
    <t xml:space="preserve"> Mechanical installation</t>
  </si>
  <si>
    <t xml:space="preserve"> Allow for builders works in connection with sanitary and water services including holes and chases and sleeves and pipe brackets painted casing to exposed pipes and access panels and weather proof flashing to vent pipes passing through roof etc.</t>
  </si>
  <si>
    <t xml:space="preserve"> M5</t>
  </si>
  <si>
    <t xml:space="preserve"> Allow for incidental works such as co ordination with other engineering installations</t>
  </si>
  <si>
    <t xml:space="preserve"> M6</t>
  </si>
  <si>
    <t xml:space="preserve"> Allow for protective covering and painting to all exposed water supply and ventilation pipe work.</t>
  </si>
  <si>
    <t xml:space="preserve"> M7</t>
  </si>
  <si>
    <t xml:space="preserve"> Allow for identification labels and  color coding etc.</t>
  </si>
  <si>
    <t xml:space="preserve"> M8</t>
  </si>
  <si>
    <t xml:space="preserve"> Allow for testing and commissioning.</t>
  </si>
  <si>
    <t xml:space="preserve"> M9</t>
  </si>
  <si>
    <t xml:space="preserve"> Allow for chlorination of water storage tanks and pipe work</t>
  </si>
  <si>
    <t xml:space="preserve"> M10</t>
  </si>
  <si>
    <t xml:space="preserve"> Allow for document As installed drawings and  Operation ad Maintenance Manuals</t>
  </si>
  <si>
    <t xml:space="preserve"> E1</t>
  </si>
  <si>
    <t xml:space="preserve"> Electrical Engineering Installation</t>
  </si>
  <si>
    <t xml:space="preserve"> Note</t>
  </si>
  <si>
    <t xml:space="preserve"> Supply and install 11 KV underground line including intermediate pole tapping arrangement from existing O H linea and stays and pit excavation and cable trench and backfilling and all accessories and connections as per Public Authority for Electricity and Water rules and regulation and to approval.</t>
  </si>
  <si>
    <t xml:space="preserve"> E2</t>
  </si>
  <si>
    <t xml:space="preserve"> Cable</t>
  </si>
  <si>
    <t xml:space="preserve"> 3C and 240 mm2 11 KV UG cable including termination</t>
  </si>
  <si>
    <t xml:space="preserve"> E3</t>
  </si>
  <si>
    <t xml:space="preserve"> Excavation</t>
  </si>
  <si>
    <t xml:space="preserve"> Excavation of HV cable trench and pit and backfilling as per Public Authority for Electricity and Water rules and regulation and to approval.</t>
  </si>
  <si>
    <t xml:space="preserve"> E4</t>
  </si>
  <si>
    <t xml:space="preserve"> Testing and commissioning</t>
  </si>
  <si>
    <t xml:space="preserve"> Testing and commissioning including liaison with Public Authority for Electricity and Water</t>
  </si>
  <si>
    <t xml:space="preserve"> E5</t>
  </si>
  <si>
    <t xml:space="preserve"> Substation Equipments  Note</t>
  </si>
  <si>
    <t xml:space="preserve"> Supply and install electrical substation equipments including foundation all as per Public Authority for Electricity  and Water requirement and to approval.</t>
  </si>
  <si>
    <t xml:space="preserve"> E6</t>
  </si>
  <si>
    <t xml:space="preserve"> Transformer</t>
  </si>
  <si>
    <t xml:space="preserve"> 1600 KVA 11KV 415V transformer including cable termination</t>
  </si>
  <si>
    <t xml:space="preserve"> E7</t>
  </si>
  <si>
    <t xml:space="preserve"> Feeder Pillar</t>
  </si>
  <si>
    <t xml:space="preserve"> 2500 A incomer feeder pillar with 2Nos 600A three Phase Strip fuse isolator 4 Nos 400A three phase Strip Fuse isolator and 1Nos spare 100A single phase Strip fuse isolator and 1 Nos spare 200A three phase strip fuse isolator in weatherproof enclosure  IP 54 with seperate CT meter weatherproof encolsure including cable termination.</t>
  </si>
  <si>
    <t xml:space="preserve"> E8</t>
  </si>
  <si>
    <t xml:space="preserve"> RMU</t>
  </si>
  <si>
    <t xml:space="preserve"> Substation Ring Main Unit RMU from  2OLU and 1HFU to 2OLU and 2HFU including excavation and  reaarangement of RMU and cable termination as per MEDC  Public Authority for Electricity and Water requirement and to approval.</t>
  </si>
  <si>
    <t xml:space="preserve"> E9</t>
  </si>
  <si>
    <t xml:space="preserve"> 3C and 120 mm2 11 KV UG cable from RMU to transformers</t>
  </si>
  <si>
    <t xml:space="preserve"> E10</t>
  </si>
  <si>
    <t xml:space="preserve"> 7 Runs of 1C  and 630 mm2  XLPE PVC SWA PVC Cu. Cable from transformer to Feeder pillar And Main Feeder Pillar to SubFeeder Pillar   including all termination</t>
  </si>
  <si>
    <t xml:space="preserve"> E11</t>
  </si>
  <si>
    <t xml:space="preserve"> Manhole</t>
  </si>
  <si>
    <t xml:space="preserve"> 2500 and 1500 and 700 mm deep internal size electrical manhole RCC wall and rendering internally 75 mm PCC at bottom with 800 and 800 mm double seal heavy duty cast iron cover and frame</t>
  </si>
  <si>
    <t xml:space="preserve"> E12</t>
  </si>
  <si>
    <t xml:space="preserve"> Elecricity and water connection to be charged local Public Authority for Electricity and Water</t>
  </si>
  <si>
    <t xml:space="preserve"> E13</t>
  </si>
  <si>
    <t xml:space="preserve"> caution tape</t>
  </si>
  <si>
    <t xml:space="preserve"> Cable caution tape marked in Arabic and English for cable.</t>
  </si>
  <si>
    <t xml:space="preserve"> 1250</t>
  </si>
  <si>
    <t xml:space="preserve"> E14</t>
  </si>
  <si>
    <t xml:space="preserve"> PVC tile</t>
  </si>
  <si>
    <t xml:space="preserve"> E15</t>
  </si>
  <si>
    <t xml:space="preserve"> Earth pit</t>
  </si>
  <si>
    <t xml:space="preserve"> Earthing with earth pit</t>
  </si>
  <si>
    <t xml:space="preserve"> E16</t>
  </si>
  <si>
    <t xml:space="preserve"> E17</t>
  </si>
  <si>
    <t xml:space="preserve"> Cable duct note</t>
  </si>
  <si>
    <t xml:space="preserve"> UPVC cable duct with socket joint and laid in trench and encased in plain cement concrete with a minimum encasement thickness of 100 mm on all sides in running length with excavate trench in any materials and  minimum 700 mm deep and including bedding and  backfilling with excavated materials and disposal of surplus materials.</t>
  </si>
  <si>
    <t xml:space="preserve"> E18</t>
  </si>
  <si>
    <t xml:space="preserve"> Cable duct</t>
  </si>
  <si>
    <t xml:space="preserve"> 160 mm diameter UPVC duct</t>
  </si>
  <si>
    <t xml:space="preserve"> E19</t>
  </si>
  <si>
    <t xml:space="preserve"> 110 mm diameter UPVC duct</t>
  </si>
  <si>
    <t xml:space="preserve"> 850</t>
  </si>
  <si>
    <t xml:space="preserve"> E20</t>
  </si>
  <si>
    <t xml:space="preserve"> Allow for builders work in connection with electrical installation including holes and chases and sleeves ducts and cable tray trucking panel backboards or formwork and  supports and access panels and  cover plates etc.</t>
  </si>
  <si>
    <t xml:space="preserve"> E21</t>
  </si>
  <si>
    <t xml:space="preserve"> Allow for incidental works such as co ordination with other engineering installations.</t>
  </si>
  <si>
    <t xml:space="preserve"> E22</t>
  </si>
  <si>
    <t xml:space="preserve"> Allow to identification labels and charts etc.</t>
  </si>
  <si>
    <t xml:space="preserve"> E23</t>
  </si>
  <si>
    <t xml:space="preserve"> Allow for testing and commissioning of complete electrical installation.</t>
  </si>
  <si>
    <t xml:space="preserve"> E24</t>
  </si>
  <si>
    <t xml:space="preserve"> Allow for documents As Installed drawings and Operation and Maintenance manuals.</t>
  </si>
  <si>
    <t xml:space="preserve"> E25</t>
  </si>
  <si>
    <t xml:space="preserve"> MAIN DISTRIBUTION BOARD Electrical Engineering Installation</t>
  </si>
  <si>
    <t xml:space="preserve"> Main Distribution Board</t>
  </si>
  <si>
    <t xml:space="preserve"> Main Distribution panel board in weather proof Stainless steel enclosure IP 65 including 2 nos 600A  and 4 nos 400A  and  1NOS spare100 A and 1 NOS  spare 200A Incoming MCCB Breaker and 4nos 200A  and 2nos spare 100 A  Outgoing MCCB Breakers and supports and Busbar and earthing and cable glands and Ammeters and Voltmeters and internal wiring interconnection 1PH  3PH KWH series meters and  labels as per approved MHEW drawings</t>
  </si>
  <si>
    <t xml:space="preserve"> E26</t>
  </si>
  <si>
    <t xml:space="preserve"> 4C and  240 mm2 UG cable from Feeder Pillar to MDB Panels</t>
  </si>
  <si>
    <t xml:space="preserve"> E27</t>
  </si>
  <si>
    <t xml:space="preserve"> Manholes</t>
  </si>
  <si>
    <t xml:space="preserve"> 1000 and 1000 and 700 mm deep internal size electrical manhole RCC wall and rendering internally 75 mm PCC at bottom with 800 and 800 mm double seal heavy duty cast Ductile Iron EN 124 B400 cover and frame</t>
  </si>
  <si>
    <t xml:space="preserve"> E28</t>
  </si>
  <si>
    <t xml:space="preserve"> 600 and 600 and700 mm deep internal size electrical manhole and RCC wall and rendering internally 75 mm PCC at bottom with 600 and 600 mm double seal heavy duty cast iron cover and frame.</t>
  </si>
  <si>
    <t xml:space="preserve"> E29</t>
  </si>
  <si>
    <t xml:space="preserve"> SUB MAIN DISTRIBUTION BOARD</t>
  </si>
  <si>
    <t xml:space="preserve"> Sub Main Distribution Board</t>
  </si>
  <si>
    <t xml:space="preserve"> Sub Main Distribution panel board in weather proof Stainless steel enclosure IP 65 including 1nos 200A  MCCB and 2 NOS 100A MCCB Outgoing  Breakers and supports and Busbar and earthing and cable glands and  Ammeters and Voltmeters and internal wiring interconnection 1PH  3PH KWH series meters and  labels as per approved MHEW drawings</t>
  </si>
  <si>
    <t xml:space="preserve"> E30</t>
  </si>
  <si>
    <t xml:space="preserve"> XLPE PVC SWA PVC copper cable with PVC copper earth continuity conductor including necessary conduit and trunking and cable tray and termination</t>
  </si>
  <si>
    <t xml:space="preserve"> E31</t>
  </si>
  <si>
    <t xml:space="preserve"> 4C and 70 mm� + 1C x 50  mm� ECC from MDB to SMDB1</t>
  </si>
  <si>
    <t xml:space="preserve"> E32</t>
  </si>
  <si>
    <t xml:space="preserve"> 4C and 70 mm� + 1C x 50  mm� ECC from MDB to SMDB2</t>
  </si>
  <si>
    <t xml:space="preserve"> E33</t>
  </si>
  <si>
    <t xml:space="preserve"> 4C and 70 mm� + 1C x 50  mm� ECC from MDB to SMDB3</t>
  </si>
  <si>
    <t xml:space="preserve"> E34</t>
  </si>
  <si>
    <t xml:space="preserve"> 4C and 70 mm� + 1C x 50  mm� ECC from MDB to SMDB4</t>
  </si>
  <si>
    <t xml:space="preserve"> E35</t>
  </si>
  <si>
    <t xml:space="preserve"> 4C and 70 mm� + 1C x 50  mm� ECC from MDB to SMDB5</t>
  </si>
  <si>
    <t xml:space="preserve"> E36</t>
  </si>
  <si>
    <t xml:space="preserve"> 4C and 70 mm� + 1C x 50  mm� ECC from MDB to SMDB6</t>
  </si>
  <si>
    <t xml:space="preserve"> E37</t>
  </si>
  <si>
    <t xml:space="preserve"> 4C and 70 mm� + 1C x 50  mm� ECC from MDB to SMDB7</t>
  </si>
  <si>
    <t xml:space="preserve"> E38</t>
  </si>
  <si>
    <t xml:space="preserve"> 4C and 70 mm� + 1C x 50  mm� ECC from MDB to SMDB8</t>
  </si>
  <si>
    <t xml:space="preserve"> E39</t>
  </si>
  <si>
    <t xml:space="preserve"> 4C and 70 mm� + 1C x 50  mm� ECC from MDB to SMDB9</t>
  </si>
  <si>
    <t xml:space="preserve"> E40</t>
  </si>
  <si>
    <t xml:space="preserve"> 4C and 70 mm� + 1C x 50  mm� ECC from MDB to SMDB10</t>
  </si>
  <si>
    <t xml:space="preserve"> E41</t>
  </si>
  <si>
    <t xml:space="preserve"> 4C and 70 mm� + 1C x 50  mm� ECC from MDB to SMDB11</t>
  </si>
  <si>
    <t xml:space="preserve"> E42</t>
  </si>
  <si>
    <t xml:space="preserve"> 4C and 70 mm� + 1C x 50  mm� ECC from MDB to SMDB12</t>
  </si>
  <si>
    <t xml:space="preserve"> E43</t>
  </si>
  <si>
    <t xml:space="preserve"> 4C and 70 mm� + 1C x 50  mm� ECC from MDB to SMDB13</t>
  </si>
  <si>
    <t xml:space="preserve"> E44</t>
  </si>
  <si>
    <t xml:space="preserve"> 4C and 70 mm� + 1C x 50  mm� ECC from MDB to SMDB14</t>
  </si>
  <si>
    <t xml:space="preserve"> E45</t>
  </si>
  <si>
    <t xml:space="preserve"> 4C and 70 mm� + 1C x 50  mm� ECC from MDB to SMDB15</t>
  </si>
  <si>
    <t xml:space="preserve"> 220</t>
  </si>
  <si>
    <t xml:space="preserve"> E46</t>
  </si>
  <si>
    <t xml:space="preserve"> 4C and 70 mm� + 1C x 50  mm� ECC from MDB to SMDB16</t>
  </si>
  <si>
    <t xml:space="preserve"> E47</t>
  </si>
  <si>
    <t xml:space="preserve"> 4C and 70 mm� + 1C x 50  mm� ECC from MDB to SMDB17</t>
  </si>
  <si>
    <t xml:space="preserve"> E48</t>
  </si>
  <si>
    <t xml:space="preserve"> 4C and 70 mm� + 1C x 50  mm� ECC from MDB to SMDB18</t>
  </si>
  <si>
    <t xml:space="preserve"> E49</t>
  </si>
  <si>
    <t xml:space="preserve"> 4C and 70 mm� + 1C x 50  mm� ECC from MDB to SMDB19</t>
  </si>
  <si>
    <t xml:space="preserve"> E50</t>
  </si>
  <si>
    <t xml:space="preserve"> 4C and 70 mm� + 1C x 50  mm� ECC from MDB to SMDB20</t>
  </si>
  <si>
    <t xml:space="preserve"> E51</t>
  </si>
  <si>
    <t xml:space="preserve"> Distribution Board</t>
  </si>
  <si>
    <t xml:space="preserve"> Distribution board including isolator and ELCB in separate enclosure and MCB  RCD MCB  as specified along with necessary supports earthing cable glands and internal wiring and interconnection and labels</t>
  </si>
  <si>
    <t xml:space="preserve"> E52</t>
  </si>
  <si>
    <t xml:space="preserve"> 100A TPN 12 way DBs</t>
  </si>
  <si>
    <t xml:space="preserve"> E53</t>
  </si>
  <si>
    <t xml:space="preserve"> 100A TPN 6 way DBs</t>
  </si>
  <si>
    <t xml:space="preserve"> E54</t>
  </si>
  <si>
    <t xml:space="preserve"> XLPE PVC SWA PVC copper cable with PVC and copper earth continuity conductor including necessary conduit and trunking and cable tray and termination</t>
  </si>
  <si>
    <t xml:space="preserve"> E55</t>
  </si>
  <si>
    <t xml:space="preserve"> 4C and 25 mm� + 1C and 16  mm� ECC from SMDBs to DB1 GF for 20 villas</t>
  </si>
  <si>
    <t xml:space="preserve"> E56</t>
  </si>
  <si>
    <t xml:space="preserve"> 4C and 25 mm� + 1C and 16  mm� ECC from SMDBs to DB1 GF for 21 villas</t>
  </si>
  <si>
    <t xml:space="preserve"> E57</t>
  </si>
  <si>
    <t xml:space="preserve"> Earthing Installation</t>
  </si>
  <si>
    <t xml:space="preserve"> Earthing system including 16 mm dia. high conductivity solid copper rod electrodes with drive head assemblies and Earthing clamps for earth pits Earthing of exposed pipe work sanitary fittings and equipment all as required including 300 and 300  and 400 mm deep internally earth pit and earth wires as per specification and drawings complete with 300 mm and 300 mm medium duty double seal cast iron cover and frame.</t>
  </si>
  <si>
    <t xml:space="preserve"> E58</t>
  </si>
  <si>
    <t xml:space="preserve"> Allow for builders work in connection with electrical installation including holes chases sleeves ducts cable tray trucking panel backboards or formwork supports access panels cover plates etc.</t>
  </si>
  <si>
    <t xml:space="preserve"> E59</t>
  </si>
  <si>
    <t xml:space="preserve"> E60</t>
  </si>
  <si>
    <t xml:space="preserve"> Allow to identification labels and  charts etc.</t>
  </si>
  <si>
    <t xml:space="preserve"> E61</t>
  </si>
  <si>
    <t xml:space="preserve"> E62</t>
  </si>
  <si>
    <t xml:space="preserve"> Allow for documents As installed  drawings Operation and Maintenance manuals.</t>
  </si>
  <si>
    <t xml:space="preserve"> E63</t>
  </si>
  <si>
    <t xml:space="preserve"> Small Power  Accessories and cable and Conduits Installation   Note</t>
  </si>
  <si>
    <t xml:space="preserve"> Supply and installd and connect test and commissioning of the following wiring devices including SS cover plate connect test of the conduits and cables and back box and junction box form distribution board from the following as required as shown on drawing and specification</t>
  </si>
  <si>
    <t xml:space="preserve"> E64</t>
  </si>
  <si>
    <t xml:space="preserve"> Small Power  Accessories and cable and Conduits Installation</t>
  </si>
  <si>
    <t xml:space="preserve"> 13A DP single switched socket outlet</t>
  </si>
  <si>
    <t xml:space="preserve"> 720</t>
  </si>
  <si>
    <t xml:space="preserve"> E65</t>
  </si>
  <si>
    <t xml:space="preserve"> 13A DP twin switched socket outlet</t>
  </si>
  <si>
    <t xml:space="preserve"> 260</t>
  </si>
  <si>
    <t xml:space="preserve"> E66</t>
  </si>
  <si>
    <t xml:space="preserve"> 13A DP single gang weatherproof switch socket outlet</t>
  </si>
  <si>
    <t xml:space="preserve"> 280</t>
  </si>
  <si>
    <t xml:space="preserve"> E67</t>
  </si>
  <si>
    <t xml:space="preserve"> 30A cooker socket</t>
  </si>
  <si>
    <t xml:space="preserve"> E68</t>
  </si>
  <si>
    <t xml:space="preserve"> 20A DP flux outlet for AC 1.5 ton</t>
  </si>
  <si>
    <t xml:space="preserve"> E69</t>
  </si>
  <si>
    <t xml:space="preserve"> 20A weatherproof DP flux outlet  for WH</t>
  </si>
  <si>
    <t xml:space="preserve"> E70</t>
  </si>
  <si>
    <t xml:space="preserve"> 13 A unswitched fused spur unit outlet for EF</t>
  </si>
  <si>
    <t xml:space="preserve"> E71</t>
  </si>
  <si>
    <t xml:space="preserve"> 30A DP flux outlet for AC 2.5 and 3 ton</t>
  </si>
  <si>
    <t xml:space="preserve"> E72</t>
  </si>
  <si>
    <t xml:space="preserve"> 20A Dp switch for WH and AC</t>
  </si>
  <si>
    <t xml:space="preserve"> E73</t>
  </si>
  <si>
    <t xml:space="preserve"> 30A Dp switch for AC</t>
  </si>
  <si>
    <t xml:space="preserve"> E74</t>
  </si>
  <si>
    <t xml:space="preserve"> 20A weatherproof TPN isolator for Booster pump</t>
  </si>
  <si>
    <t xml:space="preserve"> E75</t>
  </si>
  <si>
    <t xml:space="preserve"> Lighting  Accessories and cable and conduits installation</t>
  </si>
  <si>
    <t xml:space="preserve"> Supply and install and  connect test of the conduits and cables form distribution board from the following .Supply and install connect test and commissioning of the following wiring devices including SS cover plate connect test of the conduits and cables and back box and junction box form distribution board from the following as required as shown on drawing and specification.</t>
  </si>
  <si>
    <t xml:space="preserve"> E76</t>
  </si>
  <si>
    <t xml:space="preserve"> Lighting switch 10A Double pole one way one gang</t>
  </si>
  <si>
    <t xml:space="preserve"> E77</t>
  </si>
  <si>
    <t xml:space="preserve"> Lighting switch 10A  Double pole one way one gang whether proof</t>
  </si>
  <si>
    <t xml:space="preserve"> E78</t>
  </si>
  <si>
    <t xml:space="preserve"> Ditto  one way two gang</t>
  </si>
  <si>
    <t xml:space="preserve"> 420</t>
  </si>
  <si>
    <t xml:space="preserve"> E79</t>
  </si>
  <si>
    <t xml:space="preserve"> Ditto  one way three gang</t>
  </si>
  <si>
    <t xml:space="preserve"> E80</t>
  </si>
  <si>
    <t xml:space="preserve"> Ditto  two way one gang</t>
  </si>
  <si>
    <t xml:space="preserve"> E81</t>
  </si>
  <si>
    <t xml:space="preserve"> Ditto  two way two gang</t>
  </si>
  <si>
    <t xml:space="preserve"> E82</t>
  </si>
  <si>
    <t xml:space="preserve"> Lighting Fixture Note</t>
  </si>
  <si>
    <t xml:space="preserve"> Supply and install and connect test and commissioning of the following lighting fixtures and including lamps and electronic ballasts and  control gear and wires and cables and all necessary accessories complete as specified and as shown on the drawings.</t>
  </si>
  <si>
    <t xml:space="preserve"> E83</t>
  </si>
  <si>
    <t xml:space="preserve"> 40w led downlight</t>
  </si>
  <si>
    <t xml:space="preserve"> E84</t>
  </si>
  <si>
    <t xml:space="preserve"> 40w led downlight with whether proof IP 65</t>
  </si>
  <si>
    <t xml:space="preserve"> E85</t>
  </si>
  <si>
    <t xml:space="preserve"> 40w led downlight with integral emergency conversion kit</t>
  </si>
  <si>
    <t xml:space="preserve"> E86</t>
  </si>
  <si>
    <t xml:space="preserve"> 25w led wall mounted light fixture</t>
  </si>
  <si>
    <t xml:space="preserve"> E87</t>
  </si>
  <si>
    <t xml:space="preserve"> 26w led wall mounted light fixture with whether proof</t>
  </si>
  <si>
    <t xml:space="preserve"> E88</t>
  </si>
  <si>
    <t xml:space="preserve"> 7w led mirror light</t>
  </si>
  <si>
    <t xml:space="preserve"> E89</t>
  </si>
  <si>
    <t xml:space="preserve"> 20w compound wall light with whether proof IP65</t>
  </si>
  <si>
    <t xml:space="preserve"> E90</t>
  </si>
  <si>
    <t xml:space="preserve"> 40w fluorescent light fixture for car parking area</t>
  </si>
  <si>
    <t xml:space="preserve"> E91</t>
  </si>
  <si>
    <t xml:space="preserve"> Ceiling fan</t>
  </si>
  <si>
    <t xml:space="preserve"> E92</t>
  </si>
  <si>
    <t xml:space="preserve"> Chandelier</t>
  </si>
  <si>
    <t xml:space="preserve"> E93</t>
  </si>
  <si>
    <t xml:space="preserve"> Wall mounted exhaust fan</t>
  </si>
  <si>
    <t xml:space="preserve"> GN1</t>
  </si>
  <si>
    <t xml:space="preserve"> TV System Installation</t>
  </si>
  <si>
    <t xml:space="preserve"> Cable and conduit to TV point in concealed installation from satellite</t>
  </si>
  <si>
    <t xml:space="preserve"> GN2</t>
  </si>
  <si>
    <t xml:space="preserve"> Outlet</t>
  </si>
  <si>
    <t xml:space="preserve"> Flush mounted TV  Satellite outlet</t>
  </si>
  <si>
    <t xml:space="preserve"> GN3</t>
  </si>
  <si>
    <t xml:space="preserve"> Allow for co axial cable in concealed conduit from dish antenna to satellite switcher with all necessary accessories and trunking and conduits and  trays and supports etc.</t>
  </si>
  <si>
    <t xml:space="preserve"> GN4</t>
  </si>
  <si>
    <t xml:space="preserve"> Telephone System</t>
  </si>
  <si>
    <t xml:space="preserve"> Cable and conduits to telephone outlet points in concealed installation from telephone junction box to IP phone expansion module for reception</t>
  </si>
  <si>
    <t xml:space="preserve"> GN5</t>
  </si>
  <si>
    <t xml:space="preserve"> Cat 6E telephone outlet</t>
  </si>
  <si>
    <t xml:space="preserve"> GN6</t>
  </si>
  <si>
    <t xml:space="preserve"> Junction box</t>
  </si>
  <si>
    <t xml:space="preserve"> Telephone junction box</t>
  </si>
  <si>
    <t xml:space="preserve"> GN7</t>
  </si>
  <si>
    <t xml:space="preserve"> Supply and laying 80 pair telephone cable including trench excavationand backfilling and ducts and bedding caution tape etc all as per site conditions</t>
  </si>
  <si>
    <t xml:space="preserve"> GN8</t>
  </si>
  <si>
    <t xml:space="preserve"> Cables</t>
  </si>
  <si>
    <t xml:space="preserve"> 80 pair external grade telephone cable from mantel terminal box to main telephone junction box at main building Electrical room.</t>
  </si>
  <si>
    <t xml:space="preserve"> GN9</t>
  </si>
  <si>
    <t xml:space="preserve"> Draw Pits</t>
  </si>
  <si>
    <t xml:space="preserve"> 450 and 450 and 500 mm deep internal size telephone draw pit RCC wall and rendering internally and 75 mm PCC at bottom with 450 and 450 mm medium duty ductile iron cover and frame.</t>
  </si>
  <si>
    <t xml:space="preserve"> GN10</t>
  </si>
  <si>
    <t xml:space="preserve"> DATA SYSTEM</t>
  </si>
  <si>
    <t xml:space="preserve"> Supply and install and connect and  test and commissioning of the following for the WiFi system including cables and trunking and accessories and as shown on specifications.</t>
  </si>
  <si>
    <t xml:space="preserve"> GN11</t>
  </si>
  <si>
    <t xml:space="preserve"> Structured Cabling system</t>
  </si>
  <si>
    <t xml:space="preserve"> Accessories</t>
  </si>
  <si>
    <t xml:space="preserve"> Wi Fi access units including all accessories and fittings</t>
  </si>
  <si>
    <t xml:space="preserve"> GN12</t>
  </si>
  <si>
    <t xml:space="preserve"> Any other works not specifically enumerated under the works above with implementation cost</t>
  </si>
  <si>
    <t xml:space="preserve"> GN13</t>
  </si>
  <si>
    <t xml:space="preserve"> Cableconduits and accessories to RJ 45 Category 6A dual socket outlet</t>
  </si>
  <si>
    <t xml:space="preserve"> GN14</t>
  </si>
  <si>
    <t xml:space="preserve"> Drop lead 3m long Category 6A</t>
  </si>
  <si>
    <t xml:space="preserve"> GN15</t>
  </si>
  <si>
    <t xml:space="preserve"> Drop lead  6m long Category 6A</t>
  </si>
  <si>
    <t xml:space="preserve"> GN16</t>
  </si>
  <si>
    <t xml:space="preserve"> patch panel</t>
  </si>
  <si>
    <t xml:space="preserve"> 16 Port Cat 6A Patch panel</t>
  </si>
  <si>
    <t xml:space="preserve"> GN17</t>
  </si>
  <si>
    <t xml:space="preserve"> 500mm single mode fiber LC SC Patch cords</t>
  </si>
  <si>
    <t xml:space="preserve"> GN18</t>
  </si>
  <si>
    <t xml:space="preserve"> Accessories and stacking kits and cable management and cable organizer and cable channels and supports all types of cords and pig tail connectors including termination etc  complete</t>
  </si>
  <si>
    <t xml:space="preserve"> GN19</t>
  </si>
  <si>
    <t xml:space="preserve"> CCTV System</t>
  </si>
  <si>
    <t xml:space="preserve"> PTZ Camera</t>
  </si>
  <si>
    <t xml:space="preserve"> PTZ Vandal proof with weather proof Bullet type Day and Night vision CCTV IP camera  Outdoor as specified.</t>
  </si>
  <si>
    <t xml:space="preserve"> GN20</t>
  </si>
  <si>
    <t xml:space="preserve"> pulling box</t>
  </si>
  <si>
    <t xml:space="preserve"> Allow for cable pulling boxes</t>
  </si>
  <si>
    <t xml:space="preserve"> GN21</t>
  </si>
  <si>
    <t xml:space="preserve"> cable</t>
  </si>
  <si>
    <t xml:space="preserve"> Cables and Trunking and Accessories</t>
  </si>
  <si>
    <t xml:space="preserve"> GN22</t>
  </si>
  <si>
    <t xml:space="preserve"> Telephone and Structured Cabling and CCTV System</t>
  </si>
  <si>
    <t xml:space="preserve"> Allow for builders work in connection with electrical installation including holes and chases and sleeves and ducts and cable tray trucking and panel backboards or formwork  support and  access panels and cover plates etc.</t>
  </si>
  <si>
    <t xml:space="preserve"> GN23</t>
  </si>
  <si>
    <t xml:space="preserve"> GN24</t>
  </si>
  <si>
    <t xml:space="preserve"> Allow to identification labels charts etc.</t>
  </si>
  <si>
    <t xml:space="preserve"> GN25</t>
  </si>
  <si>
    <t xml:space="preserve"> GN26</t>
  </si>
  <si>
    <t xml:space="preserve"> Allow for documents As Installed drawings Operation and Maintenance manuals.</t>
  </si>
  <si>
    <t xml:space="preserve"> MEP 1</t>
  </si>
  <si>
    <t xml:space="preserve"> MEP Works</t>
  </si>
  <si>
    <t xml:space="preserve"> MEP 2</t>
  </si>
  <si>
    <t xml:space="preserve"> MEP 3</t>
  </si>
  <si>
    <t xml:space="preserve"> EW1</t>
  </si>
  <si>
    <t xml:space="preserve"> External Works  General Site Works</t>
  </si>
  <si>
    <t xml:space="preserve"> Site Preparation</t>
  </si>
  <si>
    <t xml:space="preserve"> Allow for setting out grading trimming including clearing loose boulders vegetation stones and the like all trees bushes shrubs and undergrowth grub up all roots and burn or remove from site as directed by the Engineer.</t>
  </si>
  <si>
    <t xml:space="preserve"> EW2</t>
  </si>
  <si>
    <t xml:space="preserve"> Boundary wall</t>
  </si>
  <si>
    <t xml:space="preserve"> Allow for the Contractor to prepare RCC foundation column block work plastering and painting as per the Architectural Drawing and as per Engineer  Employer Instruction to complete the Boundary Wall.</t>
  </si>
  <si>
    <t xml:space="preserve"> 1775</t>
  </si>
  <si>
    <t xml:space="preserve"> EW3</t>
  </si>
  <si>
    <t xml:space="preserve"> Wicket Gate</t>
  </si>
  <si>
    <t xml:space="preserve"> Allow for the Contractor to supply fabricate and installation of single leaf Wicket Gate as per the Architectural Drawing and follow as per Engineer  Employer Instructions including anti corrotion epoxy paint.</t>
  </si>
  <si>
    <t xml:space="preserve"> no</t>
  </si>
  <si>
    <t xml:space="preserve"> EW4</t>
  </si>
  <si>
    <t xml:space="preserve"> Car Entrance Gate</t>
  </si>
  <si>
    <t xml:space="preserve"> Allow for the Contractor to supply fabricate and installation of single leaf Car Entrance Gate as per the Architectural Drawing and follow as per Engineer  Employer Instructions including anti corrotion epoxy paint</t>
  </si>
  <si>
    <t xml:space="preserve"> EW5</t>
  </si>
  <si>
    <t xml:space="preserve"> Entrance Gate ont only</t>
  </si>
  <si>
    <t xml:space="preserve"> Allow for the Contractor to supply fabricate and installation of Wicket Gate solid WPC with 10 years garantee as per the Architectural Drawing and follow as per Engineer  Employer Instructions including anti corrotion epoxy paint.</t>
  </si>
  <si>
    <t xml:space="preserve"> EW6</t>
  </si>
  <si>
    <t xml:space="preserve"> Single leaf Wicket Gate solid WPC</t>
  </si>
  <si>
    <t xml:space="preserve"> EW7</t>
  </si>
  <si>
    <t xml:space="preserve"> Single leaf Car Entrance Gate soild WPC</t>
  </si>
  <si>
    <t xml:space="preserve"> EW8</t>
  </si>
  <si>
    <t xml:space="preserve"> Entrance Concrete Paver</t>
  </si>
  <si>
    <t xml:space="preserve"> Allow for the Contractor to prepare Concrete Paver as per the Architectural Drawing and place at the House Main Entrance.</t>
  </si>
  <si>
    <t xml:space="preserve"> EW9</t>
  </si>
  <si>
    <t xml:space="preserve"> Interlock Tile</t>
  </si>
  <si>
    <t xml:space="preserve"> Allow for connection Asphalt road to the site from the main drawing as per approval</t>
  </si>
  <si>
    <t xml:space="preserve"> 13550</t>
  </si>
  <si>
    <t xml:space="preserve"> EW10</t>
  </si>
  <si>
    <t xml:space="preserve"> Curb Stone</t>
  </si>
  <si>
    <t xml:space="preserve"> EW11</t>
  </si>
  <si>
    <t xml:space="preserve"> Design and Build Shaded Car Parking of 20 numbers with Solar Panel Canopy</t>
  </si>
  <si>
    <t xml:space="preserve"> Allow for the Contractor to design and build the Shaded Car Park for  houses with Solar Panel Canopy as per Engineer  Employer Instruction.</t>
  </si>
  <si>
    <t xml:space="preserve"> EX1</t>
  </si>
  <si>
    <t xml:space="preserve"> External Works Lump sum</t>
  </si>
  <si>
    <t xml:space="preserve"> Which shall include removing vegetation undergrowth bushes hedges trees or the like all complete item also Removal and disposal of surplus excavated material including providing suitable tip to the dumping yard or as specified and directed by the Engineer or local authorities..</t>
  </si>
  <si>
    <t xml:space="preserve"> EX2</t>
  </si>
  <si>
    <t xml:space="preserve"> Demolishing</t>
  </si>
  <si>
    <t xml:space="preserve"> demolishing all the structures and stores inside the boundary wall by preparing a sketch for each house and submitting to clients engineer and getting the written approval for demolishing and shifting the disposal material to damp yard including foundations of structres.</t>
  </si>
  <si>
    <t xml:space="preserve"> EX3</t>
  </si>
  <si>
    <t xml:space="preserve"> Demolishing Rebuild</t>
  </si>
  <si>
    <t xml:space="preserve"> demolishing and rebuilding as per the Same Specifications the  gates columns  damaged boundary wall  damaged manholes  damaged Holding Tanks  damaged Sock Pits  and change the cover to be GRP type Heavy duty and any other elements must be demolished to modified or rebuilt as per main scope all of this including and not limited to Excavation in any type of soil  Disposal of surplus material  filling by imported fill material compacted in layers  waterproof  concrete  reinforcements  joints  block works  polythene sheets  anti termite  manholes cover  plastering  PVC Pipes  and any necessary work to finish the work in functional condition.</t>
  </si>
  <si>
    <t xml:space="preserve"> EX4</t>
  </si>
  <si>
    <t xml:space="preserve"> boundary wall</t>
  </si>
  <si>
    <t xml:space="preserve"> the contractor has to remove and demolish any damaged or unsafe parts of the wall and rebuild it with the same height  after filling any cracks space between concreet and blockwork with non shirenkage filler with SS mesh between concrete and blocks and to remove all the paint or cladding and re paint again with external paint weather coat  stoneshield with prime coat with 10 years garantee .all of this including and not limitted to to 200mm thick walls Polythene sheet gauge 1000 Waterproofing with two bitumen coats and membrane 4mm to surfaces of concreteProtection to concretemasonryblock work in contact with soil 3 coats approved bituminous paintExpansion joint</t>
  </si>
  <si>
    <t xml:space="preserve"> EX5</t>
  </si>
  <si>
    <t xml:space="preserve"> GI gates</t>
  </si>
  <si>
    <t xml:space="preserve"> remove the existing gates and supply and fix new gates GI and painted with marine paint as per the site conditions with warranty for the paint and gates for 10 years</t>
  </si>
  <si>
    <t xml:space="preserve"> EX6</t>
  </si>
  <si>
    <t xml:space="preserve"> Pea Gravel around the house and inside the boundary wall</t>
  </si>
  <si>
    <t xml:space="preserve"> the contractor has fill the full area with pea gravel with size between 20mm to 50mm max with depth 100 mm around the house detecting from it the manholes and holding tanks and sock pit only but it must be under the new caravans</t>
  </si>
  <si>
    <t xml:space="preserve"> EX7</t>
  </si>
  <si>
    <t xml:space="preserve"> Dewatering</t>
  </si>
  <si>
    <t xml:space="preserve"> Allow for keeping excavations free from underground surface or running water from whatever source</t>
  </si>
  <si>
    <t xml:space="preserve"> EX8</t>
  </si>
  <si>
    <t xml:space="preserve"> Gas Cylinder Room</t>
  </si>
  <si>
    <t xml:space="preserve"> Contractor has to built a Gas Cylinder Room with RCC base and block work with height 1.5 m with concrete top slab with suitable foundation and safety gate that powder coated and painted with marine paint with warranty 10 years.</t>
  </si>
  <si>
    <t xml:space="preserve"> Super Structure Works Lump sum</t>
  </si>
  <si>
    <t xml:space="preserve"> Demolishing the Existing staircase slab and reconstract it with Poured Concrete  Reinforced insitu concrete poured vibrated Ordinary Portland Cement OPC concrete grade C35 all in accordance with the Drawings and Specifications including but not limited  formwork reinforcement additives movement joints construction joints joint filler curing compounds surface finishes water stop wherever necessary concrete tests and any other accessories and ancillary work required to complete the work.</t>
  </si>
  <si>
    <t xml:space="preserve"> RCC slabs RCC beams RCC Columns landingsstair etc. not exceeding 200 mm thickness at staircase head rooms.</t>
  </si>
  <si>
    <t xml:space="preserve"> 8400.000</t>
  </si>
  <si>
    <t xml:space="preserve"> Superstructure  Works  Thermal and Moisture Protection</t>
  </si>
  <si>
    <t xml:space="preserve"> Removing Roof tiles and screed and waterproofing with cleaning the surfaces closing any cracks with chemical sealants and making the surface ready for receiving the new waterproofing.</t>
  </si>
  <si>
    <t xml:space="preserve"> Demolishing the existing roof finish with waterproof and disposal the material and make the surface ready for receiving the new waterproofing</t>
  </si>
  <si>
    <t xml:space="preserve"> Roof screed lightweight concrete screed 1000 kgm3 minimum 50 mm thick to a maximum of 125 mm thick and Waterproofing with two bitumen coats and 4 mm thick torch applied acrylic polypropylene modified bitumen membrane with nonwoven polyester reinforcement and polyethylene film waterproof membrane including primer to roofs as per the manufacturer printed instructions complete as specified. Contractor to allow for 10 years guarantee and 24 hours flood test</t>
  </si>
  <si>
    <t xml:space="preserve"> To roof decksRoof screed lightweight concrete screed 1000 kgm3 minimum 50 mm thick to a maximum of 125 mm thick and Waterproofing with two bitumen coats and 4mm thick membrane on flat surface laid to falls and cross falls</t>
  </si>
  <si>
    <t xml:space="preserve"> In up standsdrops and around parapet minimum 300 mm high including dressing over fillet  grooves sealant tantalized batten etc. complete to roof deck</t>
  </si>
  <si>
    <t xml:space="preserve"> Insulation  Extruded high density polystyrene foam board insulation with rigid closed cell structure all in accordance with the specifications and drawings external</t>
  </si>
  <si>
    <t xml:space="preserve"> Supply and fix 300 x 300 x 25 mm terrazzo tiles bedded on and including cement mortar screed to falls and cross falls jointed in cement mortar movements joints etc. complete  to roof</t>
  </si>
  <si>
    <t xml:space="preserve"> Supply and fix 100x20 mm terrazzo skirting to upstands</t>
  </si>
  <si>
    <t xml:space="preserve"> Allow for Providing dressing around 110mm83mm UPVC rainwater outlets  roof duct gargoyle extract fan soil and vent pipe</t>
  </si>
  <si>
    <t xml:space="preserve"> For parapet Allow for gun applied sealant to seal the joints and groove as applicable and as specified.</t>
  </si>
  <si>
    <t xml:space="preserve"> Staircase handrail</t>
  </si>
  <si>
    <t xml:space="preserve"> Removing the old handrails and replacing them with 316 St.st handrails including supply and fix as per exixting desin hand rail in new houses drawings.</t>
  </si>
  <si>
    <t xml:space="preserve"> galvanized steel cat Ladder</t>
  </si>
  <si>
    <t xml:space="preserve"> Supply and install galvanized steel cat Ladder as specified and detailed on the drawingas per exixting desin hand rail in new houses drawings.</t>
  </si>
  <si>
    <t xml:space="preserve"> Wood Doors  All Types and Size of doors including the main entrance door comprising profiled heads jambs frames subframes architraves beadings moldings plinth block ply linings infill panels mastic and other pointing fixings neoprene seal master lining and all ancillary items including fixing of ironmongery and final decoration for a complete installation  ironmongery as specified in schedule and approved; fixed to hardwood All locks shall be 3 sets of keys Note to all stainless steel fittings shall be of 316 grade</t>
  </si>
  <si>
    <t xml:space="preserve"> 1remove the Old doors and maintain the frame if possible and supply and fix wooden door with the same existing size and specification and new accessories.item include and not limited to maintain the existing frame and paint.</t>
  </si>
  <si>
    <t xml:space="preserve"> Superstructure Works Doors</t>
  </si>
  <si>
    <t xml:space="preserve"> UPVC Doors</t>
  </si>
  <si>
    <t xml:space="preserve"> 3675.000</t>
  </si>
  <si>
    <t xml:space="preserve"> Superstructure Works for Windows</t>
  </si>
  <si>
    <t xml:space="preserve"> Aluminium windows</t>
  </si>
  <si>
    <t xml:space="preserve"> Entrance Flooring</t>
  </si>
  <si>
    <t xml:space="preserve"> Demolishing entrance flooring preparing the surface to receive marble tiles and supplying and fixing marble tiles for landing and stairs Tread and raiser for steps also skirting included with the same material.with supplying and fixing</t>
  </si>
  <si>
    <t xml:space="preserve"> 430.500</t>
  </si>
  <si>
    <t xml:space="preserve"> Salah and Majles flooring</t>
  </si>
  <si>
    <t xml:space="preserve"> Demolishing salah and Majles flooring preparing the surface to receive porcelain tiles and supplying and fixing porcelain tiles matching with existing floors also skirting included with the same material.with supplying and fixing</t>
  </si>
  <si>
    <t xml:space="preserve"> 472.500</t>
  </si>
  <si>
    <t xml:space="preserve"> Kitchen and toilets flooring</t>
  </si>
  <si>
    <t xml:space="preserve"> Demolishing Kitchen and toilets flooring preparing the surface to receive antislip ceramic tiles and supplying and fixing antislip ceramic tiles matching with existing floors.with supplying and fixing</t>
  </si>
  <si>
    <t xml:space="preserve"> 367.500</t>
  </si>
  <si>
    <t xml:space="preserve"> Stairs Landing and steps</t>
  </si>
  <si>
    <t xml:space="preserve"> Demolishing Stairs flooring preparing the surface to receive marble tiles and supplying and fixing marble tiles for landing and stairs Tread and raiser for steps also skirting included with the same material.with supplying and fixing</t>
  </si>
  <si>
    <t xml:space="preserve"> 682.500</t>
  </si>
  <si>
    <t xml:space="preserve"> Internal Wall Finishes  Scrap the existing paint repair the cracks fill the cracks and put SS mesh between concrete and block work and over the MEP pipes including PVC corner beads and expanded metal lath angle beads and plaster stops as specified. including decorative around the windows with internal Backgrounds  Plaster cement and sand 1to3 internal  To walls and columns on concrete block base internal for the damaged areas to receive  INTERNAL Paint to walls of approved color over a coat of waterbased primer including preparation of surface by thorough cleaning and wetting and applying POP  Gypsum powder putty as per manufacturer�s specification fully to give an even shade before painting and curing as per manufacturers specifications and as directed the paint should be antifungal growth and weather resistance.</t>
  </si>
  <si>
    <t xml:space="preserve"> Prepare prime and apply one coat of primer and 2 coats of approved quality and color Painting and decoratingEligance marble paint with 10 years garantee all as specifiedto internally</t>
  </si>
  <si>
    <t xml:space="preserve"> 1260.000</t>
  </si>
  <si>
    <t xml:space="preserve"> External Wall Finishes  Scrap the existing paint repair the cracks fill the cracks and put SS mesh between concrete and block work and over the MEP pipes including PVC corner beads and expanded metal lath angle beads and plaster stops as specified. including decorative around the windows with internal Backgrounds  Plaster cement and sand 1to3 External  To walls and columns on concrete block base External for the damaged areas to receive  three coats of heavy texture EXTERNAL walls and columns design and windows concrete frame and all mentioned areas at tender drawings of approved color over a coat of waterbased primer including preparation of surface by thorough cleaning and wetting and applying POP  Gypsum powder putty as per manufacturer�s specification fully to give an even shade before painting and curing as per manufacturers  specifications and as directed the paint should be antifungal growth and  weather resistance</t>
  </si>
  <si>
    <t xml:space="preserve"> Prepare prime and apply 3 coats of approved quality and color Decorative projection weather coat  stoneshield with 10 years garantee as per the specificationsto Externally</t>
  </si>
  <si>
    <t xml:space="preserve"> 787.500</t>
  </si>
  <si>
    <t xml:space="preserve"> Toilets and Kitchen wall Ceramic tiles</t>
  </si>
  <si>
    <t xml:space="preserve"> Demolishing Kitchen and toilets walls tiles preparing the surface to receive glossy ceramic tiles with supplying and fixing</t>
  </si>
  <si>
    <t xml:space="preserve"> 735.000</t>
  </si>
  <si>
    <t xml:space="preserve"> Ceilings Finishes  Scrap the existing paint repair the cracks fill the cracks Painting and decorating internal Paint to walls of approved color over a coat of waterbased primer including preparation of surface by thorough cleaning and wetting and applying POP  Gypsum powder putty as per manufacturer�s specification fully to give an even shade before painting and curing as per manufacturers specifications and as directed the paint should be antifungal growth and weather resistance.</t>
  </si>
  <si>
    <t xml:space="preserve"> One coat Primertwo coats putty Three coats of Fenomastic Silk paint or equivalent on cement sand plaster. Colour as per Approval of Engineer</t>
  </si>
  <si>
    <t xml:space="preserve"> 945.000</t>
  </si>
  <si>
    <t xml:space="preserve"> External Wall Finishes  supply and fix Crazy Natural Stone with height 1.5 meter from external FFL</t>
  </si>
  <si>
    <t xml:space="preserve"> Supply and fix Crazy Natural Stone or marble with a height 1.5 meters from External FFL</t>
  </si>
  <si>
    <t xml:space="preserve"> 1522.500</t>
  </si>
  <si>
    <t xml:space="preserve"> Remove the Existing and Allow for supply fabricate and installation of Kitchen Stage including Stage Concrete Stage Korean Top and Stage Area Ceramic Wall Tile as per the specifications drawings and to approval of the Engineer.</t>
  </si>
  <si>
    <t xml:space="preserve"> 84.000</t>
  </si>
  <si>
    <t xml:space="preserve"> Remove the Existing and Allow for supply fabricate and installation of Kitchen Hood Range including Aluminum Kitchen Cabinet above and Aluminum Kitchen Cabinet below all as per the specifications drawings and to approval of the Engineer.</t>
  </si>
  <si>
    <t xml:space="preserve"> The Contractor must remove all sanitary that were fixed</t>
  </si>
  <si>
    <t xml:space="preserve"> The Contractor must remove all sanitary that were fixed at toilets and kitchens including but not limited to  Wash basins  EWC  Mixers  toilet accessories  st st sink  floor trap covers  towel rails  tissue holder  �.. Etc and store it to handover to the client in clients storages.</t>
  </si>
  <si>
    <t xml:space="preserve"> 95.550</t>
  </si>
  <si>
    <t xml:space="preserve"> UPVC pipes to BS 45141983 and BS 4660 1973 including all joints accessories and brackets</t>
  </si>
  <si>
    <t xml:space="preserve"> Supply and install Vent cowl with weathering apron 75 mm diameter</t>
  </si>
  <si>
    <t xml:space="preserve"> Supply and install 110 mm diameter Floor Trap with 150 X 150 mm SS grating Cover  including all UPVC and PVC pipes for water supply and drain with fittings and flexible pipes</t>
  </si>
  <si>
    <t xml:space="preserve"> Supply and install 300 mm x 300 mm gully trap of approx. 300 mm depth set in concrete Grade 30 Nmm� joints to drain pipes complete with 300 mm x 300 mm medium duty cast iron cover and frame. including all UPVC and PVC pipes for water supply and drain with fittings and flexible pipes</t>
  </si>
  <si>
    <t xml:space="preserve"> Supply and install 650 mm x 475 mm vitreous china white wash basin with semi pedestal center tap hole overflow and bottle trap. including all UPVC and PVC pipes for water supply and drain with fittings and flexible pipes including all UPVC and PVC pipes for water supply and drain with fittings and flexible pipes</t>
  </si>
  <si>
    <t xml:space="preserve"> Supply and install 1000 mm x 550 mm stainless steel sink single bowl single drainer with drainboard to BS 1244 complete with 2 piece tubular P trap chain plug waste brackets. including all UPVC and PVC pipes for water supply and drain with fittings and flexible pipes</t>
  </si>
  <si>
    <t xml:space="preserve"> Supply and install 400 mm x 685 mm vitreous china white concealed tank wall hung mounted EWC squatting pan built in wall toilet dual flush 3L6L concealed cistern and heavy duty auto closed seat and cover including all UPVC and PVC pipes for water supply and drain with fittings and flexible pipes</t>
  </si>
  <si>
    <t xml:space="preserve"> shower tray</t>
  </si>
  <si>
    <t xml:space="preserve"> Supply and install white glazed shower tray size 70x70 with the necessary fittings and plumbing darins including all UPVC and PVC pipes for water supply and drain with fittings and flexible pipes</t>
  </si>
  <si>
    <t xml:space="preserve"> Ablution Faucet</t>
  </si>
  <si>
    <t xml:space="preserve"> Chromium plated approved ablution faucet with angle valve hose and spray unit.  including all UPVC and PVC pipes for water supply and drain with fittings and flexible pipes</t>
  </si>
  <si>
    <t xml:space="preserve"> shower Mixer</t>
  </si>
  <si>
    <t xml:space="preserve"> Single lever chrome plated shower mixer including Rainshower rail set with its hand shower. including all UPVC and PVC pipes for water supply and drain with fittings and flexible pipes</t>
  </si>
  <si>
    <t xml:space="preserve"> Single lever chrome plated wash basin mixer including pop up waste. including all UPVC and PVC pipes for water supply and drain with fittings and flexible pipes</t>
  </si>
  <si>
    <t xml:space="preserve"> Single lever chrome plated Sink mixer. including all UPVC and PVC pipes for water supply and drain with fittings and flexible pipes</t>
  </si>
  <si>
    <t xml:space="preserve"> Recessed type stainless steel Toilet tissue dispenser  holder with stainless steel hood.</t>
  </si>
  <si>
    <t xml:space="preserve"> 610 x 75 x 75 mm towel rail</t>
  </si>
  <si>
    <t xml:space="preserve"> 450 x 600 mm mirror 6 mm thick bevel edged plywood backing fixed with chromium plated dome headed screws</t>
  </si>
  <si>
    <t xml:space="preserve"> Water Supply</t>
  </si>
  <si>
    <t xml:space="preserve"> Polypropylene random copolymer pipe</t>
  </si>
  <si>
    <t xml:space="preserve"> contractor to check the pressure of the cold and hot water at each house and to replace the damaged or leacked pipes after removing the tiles  floor  wall  and refix the tiles again with similar or with new the Polypropylene random copolymer pipes and fittings cold and hot water connections to international standard ISOto EN ISO 15874 to 2003 and DIN 80777  8078 including up stand and brackets exposed insulation as per Specificationall the pipes as per the original sizes.</t>
  </si>
  <si>
    <t xml:space="preserve"> Supply and install the following Isolating valves to BS 5154 series B bronze wedge gate pattern screwed joints with adaptor to pipes etc. wherever shown in drawings and or specified and as approved by the Engineer.all the Valves as per the original sizes.</t>
  </si>
  <si>
    <t xml:space="preserve"> The Contractor must remove all Equipment and Accessories  that were fixed</t>
  </si>
  <si>
    <t xml:space="preserve"> The Contractor must remove all Equipment and accessories that were fixed at houses including but not limited to  GRP Water Tanks  water Heater  �.. Etc and store it to hand over to the client in the clients storage.</t>
  </si>
  <si>
    <t xml:space="preserve"> Supply and install 400US gallon capacity GRP type water storage tank with foundation epoxy coated frame ball valve overflows etc. to approval</t>
  </si>
  <si>
    <t xml:space="preserve"> Supply and install 50 liter capacity horizontal type  copper tank high level wall mounted electrical water heater including all connections and fixing.</t>
  </si>
  <si>
    <t xml:space="preserve"> Rain Water Installation</t>
  </si>
  <si>
    <t xml:space="preserve"> Rain Water UPVC Pipeswith outlet</t>
  </si>
  <si>
    <t xml:space="preserve"> remove the existing and Supply and install UPVC pipes to BS 4514  1983 including all joints fittings accessories connections and brackets</t>
  </si>
  <si>
    <t xml:space="preserve"> TAP AND ABLUTION FAUCET</t>
  </si>
  <si>
    <t xml:space="preserve"> Construct a 60x120x40 Ablution base by Solid Block with RCC base and finished from all side with anti slip ceramic including the mixer subject to the engineers and client approval</t>
  </si>
  <si>
    <t xml:space="preserve"> The Contractor must remove all Equipment and accessories that were fixed at houses including but not limited to  AC units  indoor  outdoor�.. Etc and store it to hand over to the client in the clients storage.</t>
  </si>
  <si>
    <t xml:space="preserve"> High level Wall mounted Split AC with DX unit replacing the box type at walls</t>
  </si>
  <si>
    <t xml:space="preserve"> Contractor ro remove the existing AC at walls and to close the walls and make plaster with st st mesh and painting after that to fix 18000 BTUHR capacity highlevel wall mounted split type air conditioner including connection to electrical outlet and concrete base foundation and AC drain pipes to gully trap.</t>
  </si>
  <si>
    <t xml:space="preserve"> High level Wall mounted Split AC with DX unit for Kitchen</t>
  </si>
  <si>
    <t xml:space="preserve"> 18000 BTUHR capacity highlevel wall mounted split type air conditioner including connection to electrical outlet and concrete base foundation and AC drain pipes to gully trap.</t>
  </si>
  <si>
    <t xml:space="preserve"> High level Wall mounted Split AC with DX unit for salah and majles</t>
  </si>
  <si>
    <t xml:space="preserve"> 30000 BTUHR capacity highlevel wall mounted split type air conditioner including connection to electrical outlet and concrete base foundation and AC drain pipes to gully trap.</t>
  </si>
  <si>
    <t xml:space="preserve"> Ventilating Fans</t>
  </si>
  <si>
    <t xml:space="preserve"> remove the existing and Supply and install  test and commission ventilating fan 6 and 8 with electrically operated louvers as specified on the drawings complete with all mounting requirements flexible connections electrical connections support backdraft dampers auto changeover controller all in accordance with the specification</t>
  </si>
  <si>
    <t xml:space="preserve"> the Contractor must check the Power supply distribution copper cable with earth continuity cable Rate should cover related accessories jointing glanding earthing tag termination legs PVA shrowds and cable tag for interconnecting cables cable trays cable identification cable route marker from substation to the switches and sockets and in between subboards and distribution panels and change any defected item to have the system working in functional conditions</t>
  </si>
  <si>
    <t xml:space="preserve"> Contractor to provide full Solar system</t>
  </si>
  <si>
    <t xml:space="preserve"> The contractor to Design and Provide the solar system including all materials and supply and fix it to be compatible with the MCCP and DBs at the houses and get the approvals from the ClientEngineer before executing any work</t>
  </si>
  <si>
    <t xml:space="preserve"> the Contractor to replace the existing with new weatherproof  GRP IP 65 Main or Sub Main Distribution panel board including MCCBs supports earthing cable glands Ammeters Voltmeters internal wiring interconnection and  labels as per drawings and specification</t>
  </si>
  <si>
    <t xml:space="preserve"> The contractor to replace the existing DBs with new weatherproof  GRP IP 65  for all the DBs at the houses.</t>
  </si>
  <si>
    <t xml:space="preserve"> The contractor to add a new DB for the New Caravans to be weatherproof  GRP IP 65 .</t>
  </si>
  <si>
    <t xml:space="preserve"> Small Power  Accessories removing</t>
  </si>
  <si>
    <t xml:space="preserve"> the Contractor to replace the existing with new switches and sockets and the existing to be handover to client at his storage at end of the project.</t>
  </si>
  <si>
    <t xml:space="preserve"> Small Power  Accessories Installation</t>
  </si>
  <si>
    <t xml:space="preserve"> the Contractor to replace the existing with new 13A DP single switched socket outlet</t>
  </si>
  <si>
    <t xml:space="preserve"> the Contractor to replace the existing with new 13A DP twin switched socket outlet</t>
  </si>
  <si>
    <t xml:space="preserve"> the Contractor to replace the existing with new 13A DP single gang weatherproof switch socket outlet</t>
  </si>
  <si>
    <t xml:space="preserve"> the Contractor to replace the existing with new 20A Dp switch outlet</t>
  </si>
  <si>
    <t xml:space="preserve"> the Contractor to replace the existing with new two way two gang</t>
  </si>
  <si>
    <t xml:space="preserve"> the Contractor to replace the existing regulator for the ceiling fans</t>
  </si>
  <si>
    <t xml:space="preserve"> Small Power  Lighting Fixture removing</t>
  </si>
  <si>
    <t xml:space="preserve"> the Contractor to replace the existing with new Lighting Fixture inside and out side and celing fans such as   including lamps electronic ballasts control gearwirescables and all necessary accessories  and the existing to be handover to client at his storage at end of the project.</t>
  </si>
  <si>
    <t xml:space="preserve"> Lighting Fixture</t>
  </si>
  <si>
    <t xml:space="preserve"> Supply install connect test and commissioning of the following lighting fixtures including lamps electronic ballasts control gearwirescables and all necessary accessories complete as specified and as shown on the drawingsto</t>
  </si>
  <si>
    <t xml:space="preserve"> Supply install connect test and commissioning of the following lighting fixtures at all Bed Rooms</t>
  </si>
  <si>
    <t xml:space="preserve"> Supply install connect test and commissioning of the following lighting fixtures at all Salah</t>
  </si>
  <si>
    <t xml:space="preserve"> Supply install connect test and commissioning of the following lighting fixtures at all Majles</t>
  </si>
  <si>
    <t xml:space="preserve"> Supply install connect test and commissioning of the following lighting fixtures at all Kitchen</t>
  </si>
  <si>
    <t xml:space="preserve"> Supply install connect test and commissioning of the following lighting fixtures at all toilets</t>
  </si>
  <si>
    <t xml:space="preserve"> Supply install connect test and commissioning of the following lighting fixtures at all corridors</t>
  </si>
  <si>
    <t xml:space="preserve"> Supply install connect test and commissioning of the following lighting fixtures at staircase</t>
  </si>
  <si>
    <t xml:space="preserve"> Supply install connect test and commissioning of the following lighting fixtures at entrance</t>
  </si>
  <si>
    <t xml:space="preserve"> Supply install connect test and commissioning of the following lighting fixtures at boundary wall</t>
  </si>
  <si>
    <t xml:space="preserve"> Supply install connect test and commission of the following lighting fixtures at roof 4 corners and above the stair head room 4 corners</t>
  </si>
  <si>
    <t xml:space="preserve"> Supply install connect test and commission of the following lighting fixtures Emergency light</t>
  </si>
  <si>
    <t xml:space="preserve"> Ceiling Fan</t>
  </si>
  <si>
    <t xml:space="preserve"> Supply install connect test and commission of celing fans</t>
  </si>
  <si>
    <t xml:space="preserve"> Supply install NEW Earthing system including 16 mm dia. high conductivity solid copper rod electrodes with drive head assemblies and Earthing clamps for earth pits Earthing of exposed pipe work sanitary fittings and equipment all as required including 300 x 300 x 400 mm deep internally earth pit earth wires as per specification and drawings complete with 300 mm x 300 mm medium duty double seal cast iron cover and frame.</t>
  </si>
  <si>
    <t xml:space="preserve"> TV Points and Dish Installation</t>
  </si>
  <si>
    <t xml:space="preserve"> Supply install NEW TV Satellite system all Data Cable with the dish above the roof and the concrete base and to connect it to the existing TV points all in functional conditions.</t>
  </si>
  <si>
    <t xml:space="preserve"> Sundrie</t>
  </si>
  <si>
    <t xml:space="preserve"> Sundrie Items</t>
  </si>
  <si>
    <t xml:space="preserve"> Any other works not specifically enumerated under the works in this bill but indicated in the drawings or required to complete the work in manner of respect to handover the project in working and safe conditions to the residents specification or needed to complete the work.</t>
  </si>
  <si>
    <t xml:space="preserve"> G2</t>
  </si>
  <si>
    <t xml:space="preserve"> if any works was miss matching with any part of this tender documents the contractor must raise his queries during tender period and by submitting the offer the contractor confirming that every points was clear for him and confirming that is included at his price and no variation will be accepted</t>
  </si>
  <si>
    <r>
      <rPr>
        <sz val="9"/>
        <rFont val="Arial MT"/>
        <family val="2"/>
      </rPr>
      <t>PSW1</t>
    </r>
  </si>
  <si>
    <r>
      <rPr>
        <sz val="9"/>
        <rFont val="Arial MT"/>
        <family val="2"/>
      </rPr>
      <t>1 Conditions of Contract</t>
    </r>
  </si>
  <si>
    <r>
      <rPr>
        <sz val="9"/>
        <rFont val="Arial MT"/>
        <family val="2"/>
      </rPr>
      <t>Flood Protection and Strom Water Drainage Systems. Note</t>
    </r>
  </si>
  <si>
    <r>
      <rPr>
        <sz val="9"/>
        <rFont val="Arial MT"/>
        <family val="2"/>
      </rPr>
      <t>The contractor is deemed to have carefully studied and understood and taken into account the provisions and requirements of the General Conditions of Contract. The rates and prices stated in the Bill of Quantities shall include for all costs of compliance with the conditions. Reconstruct the new flood protection system as per the specification and drawing and not allowed to remove or demolish the existing system before constructing the new system.</t>
    </r>
  </si>
  <si>
    <r>
      <rPr>
        <sz val="9"/>
        <rFont val="Arial MT"/>
        <family val="2"/>
      </rPr>
      <t>Item</t>
    </r>
  </si>
  <si>
    <r>
      <rPr>
        <sz val="9"/>
        <rFont val="Arial MT"/>
        <family val="2"/>
      </rPr>
      <t>PSW2</t>
    </r>
  </si>
  <si>
    <r>
      <rPr>
        <sz val="9"/>
        <rFont val="Arial MT"/>
        <family val="2"/>
      </rPr>
      <t>Conditions of Contract</t>
    </r>
  </si>
  <si>
    <r>
      <rPr>
        <sz val="9"/>
        <rFont val="Arial MT"/>
        <family val="2"/>
      </rPr>
      <t>Flood Protection and Strom Water Drainage Systems.Note</t>
    </r>
  </si>
  <si>
    <r>
      <rPr>
        <sz val="9"/>
        <rFont val="Arial MT"/>
        <family val="2"/>
      </rPr>
      <t>The contractor must refer to Oman Highway Design Standards 2017 for Specifications and Details.</t>
    </r>
  </si>
  <si>
    <r>
      <rPr>
        <sz val="9"/>
        <rFont val="Arial MT"/>
        <family val="2"/>
      </rPr>
      <t>2 Earthwork</t>
    </r>
  </si>
  <si>
    <r>
      <rPr>
        <sz val="9"/>
        <rFont val="Arial MT"/>
        <family val="2"/>
      </rPr>
      <t>Earthwork Excavation .Note</t>
    </r>
  </si>
  <si>
    <r>
      <rPr>
        <sz val="9"/>
        <rFont val="Arial MT"/>
        <family val="2"/>
      </rPr>
      <t>All the Levels taken from Architecture Zero Level and the Contractor must submit the Quantities based on approved topographical survey.</t>
    </r>
  </si>
  <si>
    <r>
      <rPr>
        <sz val="9"/>
        <rFont val="Arial MT"/>
        <family val="2"/>
      </rPr>
      <t>PSW3</t>
    </r>
  </si>
  <si>
    <r>
      <rPr>
        <sz val="9"/>
        <rFont val="Arial MT"/>
        <family val="2"/>
      </rPr>
      <t>Earthwork</t>
    </r>
  </si>
  <si>
    <r>
      <rPr>
        <sz val="9"/>
        <rFont val="Arial MT"/>
        <family val="2"/>
      </rPr>
      <t>Rate to include for excavation for all leads &amp; lift loading unloading &amp; double handling where required necessary equipments tools &amp; plants dressing the excavation to proper level and grade as required dumping the soil in the designated area approved by the Authorities taking necessary precautions to prevent any spillages or spoiling of the premises public roads during removal &amp; transporting the soil all consumables including protecting the sides of excavation as per the the nature of site soil condition and safety of excavation etc complete as directed.</t>
    </r>
  </si>
  <si>
    <r>
      <rPr>
        <sz val="9"/>
        <rFont val="Arial MT"/>
        <family val="2"/>
      </rPr>
      <t>PSW4</t>
    </r>
  </si>
  <si>
    <r>
      <rPr>
        <sz val="9"/>
        <rFont val="Arial MT"/>
        <family val="2"/>
      </rPr>
      <t>Excavation for Structures Trenches</t>
    </r>
  </si>
  <si>
    <r>
      <rPr>
        <sz val="9"/>
        <rFont val="Arial MT"/>
        <family val="2"/>
      </rPr>
      <t>Unclassified structural excavation Depth 0 to required depth as per drawings Excavation by mechanical means using excavators JCB Porcelains etc. in soil any type to the required level for foundation excavation. Including soft rock and hard rock and any remaining material or elements for the existing building. Dispose of excavated material offsite by mechanical means as directed to the approval of the Client and consultant. Disposal is not measured separately mass excavation must be done.</t>
    </r>
  </si>
  <si>
    <r>
      <rPr>
        <sz val="9"/>
        <rFont val="Arial MT"/>
        <family val="2"/>
      </rPr>
      <t>m3</t>
    </r>
  </si>
  <si>
    <r>
      <rPr>
        <sz val="9"/>
        <rFont val="Arial MT"/>
        <family val="2"/>
      </rPr>
      <t>PSW5</t>
    </r>
  </si>
  <si>
    <r>
      <rPr>
        <sz val="9"/>
        <rFont val="Arial MT"/>
        <family val="2"/>
      </rPr>
      <t>Backfilling for Structures trenches . Note</t>
    </r>
  </si>
  <si>
    <r>
      <rPr>
        <sz val="9"/>
        <rFont val="Arial MT"/>
        <family val="2"/>
      </rPr>
      <t>Rate shall include for loading unloading transportation hire and fuel charges for tools and plants employed and other incidental charges etc. complete and as directed.</t>
    </r>
  </si>
  <si>
    <r>
      <rPr>
        <sz val="9"/>
        <rFont val="Arial MT"/>
        <family val="2"/>
      </rPr>
      <t>PSW6</t>
    </r>
  </si>
  <si>
    <r>
      <rPr>
        <sz val="9"/>
        <rFont val="Arial MT"/>
        <family val="2"/>
      </rPr>
      <t>Backfilling for Structures trenches.Note</t>
    </r>
  </si>
  <si>
    <t>Backfilling for Structures trenches.Note</t>
  </si>
  <si>
    <t>Backfilling for Structures trenches</t>
  </si>
  <si>
    <t>Earthwork</t>
  </si>
  <si>
    <t>PSW7</t>
  </si>
  <si>
    <t>PSW8</t>
  </si>
  <si>
    <t>Item</t>
  </si>
  <si>
    <t>m3</t>
  </si>
  <si>
    <t>Supplying and filling in foundations and the area wherever required below ground level with the approved by Consultant material brought from outside other approved filling materials like river sand in layers not exceeding 150 mm thickness including mixing spreading levelling watering and consolidating each layer with power hand roller of required capacity to obtain required proctor density as per specification etc. all complete and as
directed.</t>
  </si>
  <si>
    <t>Approved imported fill material in making up level compacted in layers planting and execute pit including but not limited to:</t>
  </si>
  <si>
    <t>Backfilling</t>
  </si>
  <si>
    <t xml:space="preserve">
Earthwork for Pipe Trenches</t>
  </si>
  <si>
    <t>Earthwork for Pipe Trenches</t>
  </si>
  <si>
    <t>Trench excavation and backfilling Depth 0 to 2m</t>
  </si>
  <si>
    <t>Trench excavation and backfilling 2m to 3m</t>
  </si>
  <si>
    <t>Trench excavation and backfilling 3m to 4m</t>
  </si>
  <si>
    <t xml:space="preserve">
Trench excavation and backfilling Depth more than 4m</t>
  </si>
  <si>
    <t>PSW9</t>
  </si>
  <si>
    <t>PSW10</t>
  </si>
  <si>
    <t>PSW11</t>
  </si>
  <si>
    <t xml:space="preserve">
PSW12</t>
  </si>
  <si>
    <t xml:space="preserve">
PSW13</t>
  </si>
  <si>
    <t xml:space="preserve">
Redesign and Construction of Asphalt Road to be suitable for Erection of Culvert with all necessary drawings details…</t>
  </si>
  <si>
    <t>Redesign and Construction of Asphalt Road to be suitable for Erection of Culvert with all necessary drawings details…</t>
  </si>
  <si>
    <t>Aggregate Base Course Class B</t>
  </si>
  <si>
    <t>Bituminous Prime Coat Application rate 1.5 KgSq.m</t>
  </si>
  <si>
    <t>Bituminous Wearing Course Class B</t>
  </si>
  <si>
    <t xml:space="preserve">
Concrete Materials and Mixes Note</t>
  </si>
  <si>
    <t>PSW14</t>
  </si>
  <si>
    <t>PSW15</t>
  </si>
  <si>
    <t>PSW16</t>
  </si>
  <si>
    <t xml:space="preserve">
3 Granular Subbase
Aggregate Base Course and
Stabilized Base Courses.</t>
  </si>
  <si>
    <t>4 Bituminous Pavement</t>
  </si>
  <si>
    <t>Asphalt Road</t>
  </si>
  <si>
    <t xml:space="preserve">
5 Concrete and Concrete
Structures</t>
  </si>
  <si>
    <t>PSW17</t>
  </si>
  <si>
    <t>PSW18</t>
  </si>
  <si>
    <t>PSW19</t>
  </si>
  <si>
    <t>PSW20</t>
  </si>
  <si>
    <t>PSW21</t>
  </si>
  <si>
    <t>PSW22</t>
  </si>
  <si>
    <t>PSW23</t>
  </si>
  <si>
    <t>Concrete and Concrete
Structures</t>
  </si>
  <si>
    <t>Construction of Box culvert N2 Size 2x1.5m concrete class 30 with reinforcement as per HDS 2017 including wing wall foundations bituminous paint excavation backfilling and as
directed by Engineer</t>
  </si>
  <si>
    <t>Construction of Box culvert N2 Size 2x1.5m concrete class 30 with reinforcement as per HDS 2017 including wing wall foundations bituminous paint excavation backfilling and as directed by Engineer</t>
  </si>
  <si>
    <t>Concrete Class 15 in foundations.</t>
  </si>
  <si>
    <t xml:space="preserve">
Construction of Box culvert N2 Size 2x1.5m concrete class 30 with reinforcement as per HDS 2017 including wing wall foundations bituminous paint excavation backfilling and as directed by Engineer</t>
  </si>
  <si>
    <t>Concrete Class 35 in box culverts wing walls apron slab retaining walls and debris foundations.</t>
  </si>
  <si>
    <t>Reinforcing Steel Note</t>
  </si>
  <si>
    <t>Tar or bituminous paint Type II 2 coats for surfaces in contact with earth in all structures</t>
  </si>
  <si>
    <t>Membrane Waterproofing Geotextile 4mm thickness</t>
  </si>
  <si>
    <t xml:space="preserve">High tensile steel bar factory epoxy coated reinforcement of any diameter
</t>
  </si>
  <si>
    <t>Waterproofing for Structures Note</t>
  </si>
  <si>
    <t>Ton</t>
  </si>
  <si>
    <t>m2</t>
  </si>
  <si>
    <t>PSW24</t>
  </si>
  <si>
    <t>PSW25</t>
  </si>
  <si>
    <t>PSW26</t>
  </si>
  <si>
    <t>PSW27</t>
  </si>
  <si>
    <t>PSW28</t>
  </si>
  <si>
    <t>PSW29</t>
  </si>
  <si>
    <t>PSW30</t>
  </si>
  <si>
    <t>PSW31</t>
  </si>
  <si>
    <t>PSW32</t>
  </si>
  <si>
    <t>PSW33</t>
  </si>
  <si>
    <t>Drainage</t>
  </si>
  <si>
    <t>Storm Sewer</t>
  </si>
  <si>
    <t>Manholes Inlets and Chambers Note</t>
  </si>
  <si>
    <t>Item includes and not limited to 200mm aggregateSand bed and aggregatesand surrounding 200 mm of pipe crown fixing with approved slop and concrete fixing for pipe fron middel end and crawn testing flexable joint rocker piece giotextile membrane surrounding including proper reinstatement with concrete or
interlock or asphalt above the compacted surface in the existing route or new route etc.</t>
  </si>
  <si>
    <t>m</t>
  </si>
  <si>
    <t>Storm Sewer GRP Diameter 300mm</t>
  </si>
  <si>
    <t>Storm Sewer GRP Diameter 400mm</t>
  </si>
  <si>
    <t>Storm Sewer GRP Diameter 500mm</t>
  </si>
  <si>
    <t>Storm Sewer R.C Diameter 600mm</t>
  </si>
  <si>
    <t>Storm Sewer R.C Diameter 700mm</t>
  </si>
  <si>
    <t>Storm Sewer R.C Diameter 800mm</t>
  </si>
  <si>
    <t>Storm Sewer R.C Diameter 900mm</t>
  </si>
  <si>
    <t>Storm Sewer R.C Diameter 1200mm</t>
  </si>
  <si>
    <t>Item includes MH double seal cover DI heavy duty with lock water proofing and as per detailed drawings Note</t>
  </si>
  <si>
    <t>PSW34</t>
  </si>
  <si>
    <t>PSW35</t>
  </si>
  <si>
    <t>PSW36</t>
  </si>
  <si>
    <t>PSW37</t>
  </si>
  <si>
    <t>PSW38</t>
  </si>
  <si>
    <t>PSW39</t>
  </si>
  <si>
    <t>PSW40</t>
  </si>
  <si>
    <t>PSW41</t>
  </si>
  <si>
    <t>7 Slope
Protection and Stabilization</t>
  </si>
  <si>
    <t xml:space="preserve">
Slope Protection and Stabilization</t>
  </si>
  <si>
    <t>Manholes Inlets and Chambers</t>
  </si>
  <si>
    <t>Drainage of Structures</t>
  </si>
  <si>
    <t xml:space="preserve">
Drainage of Structures</t>
  </si>
  <si>
    <t>Riprap</t>
  </si>
  <si>
    <t>Existing Dyke Improvement:</t>
  </si>
  <si>
    <t>R.C Manholes Chamber Ring Dia. 1200mm Type A</t>
  </si>
  <si>
    <t>R.C Manholes Chamber Ring Dia. 1500mm Type A</t>
  </si>
  <si>
    <t>R.C Manholes Chamber Ring Dia. 2000mm Type A</t>
  </si>
  <si>
    <t>R.C Manholes Chamber Ring Dia. 1500mm Type B</t>
  </si>
  <si>
    <t xml:space="preserve">
Gully Grating and Frame DI Heavy Duty</t>
  </si>
  <si>
    <t>Mortared stone riprap Class A including fillter membrane and fillter material 150 mm thickness</t>
  </si>
  <si>
    <t>Remove the existing dyke use the suitable backfilling and compact in the new place in layers as per Oman specifications shift not suitable existing backfilling materials to damp yard etc.</t>
  </si>
  <si>
    <t>UPVC Drainage pipe to drain gully to manhole 200mm Diameter</t>
  </si>
  <si>
    <t>No</t>
  </si>
  <si>
    <r>
      <rPr>
        <b/>
        <sz val="15"/>
        <rFont val="Times New Roman"/>
        <family val="1"/>
      </rPr>
      <t xml:space="preserve">CONSTRUCTION, COMPLETION AND MAINTENANCE OF PROPOSED (20NOS) HOUSING UNITS AND MAINTENANCE WORKS FOR THE EXISTING (32) HOUSES FOR THE MINISTRY
</t>
    </r>
    <r>
      <rPr>
        <b/>
        <sz val="15"/>
        <rFont val="Times New Roman"/>
        <family val="1"/>
      </rPr>
      <t>OF HOUSING &amp; URBAN PLANNING AT HALANIYAT ISLAND</t>
    </r>
  </si>
  <si>
    <r>
      <rPr>
        <b/>
        <u/>
        <sz val="12"/>
        <rFont val="Times New Roman"/>
        <family val="1"/>
      </rPr>
      <t>GRAND SUMMARY</t>
    </r>
  </si>
  <si>
    <r>
      <rPr>
        <b/>
        <u/>
        <sz val="12"/>
        <rFont val="Times New Roman"/>
        <family val="1"/>
      </rPr>
      <t>Priced Bill of Quantities</t>
    </r>
  </si>
  <si>
    <r>
      <rPr>
        <i/>
        <u/>
        <sz val="12"/>
        <rFont val="Times New Roman"/>
        <family val="1"/>
      </rPr>
      <t>Transfer the Contract Summary of Contract Value to the Form of Tender</t>
    </r>
  </si>
  <si>
    <r>
      <rPr>
        <b/>
        <sz val="12"/>
        <rFont val="Times New Roman"/>
        <family val="1"/>
      </rPr>
      <t>Sl No.</t>
    </r>
  </si>
  <si>
    <r>
      <rPr>
        <b/>
        <sz val="12"/>
        <rFont val="Times New Roman"/>
        <family val="1"/>
      </rPr>
      <t>Description</t>
    </r>
  </si>
  <si>
    <t>R.O
 WITH VAT 5%</t>
  </si>
  <si>
    <r>
      <rPr>
        <b/>
        <sz val="12"/>
        <rFont val="Times New Roman"/>
        <family val="1"/>
      </rPr>
      <t xml:space="preserve">BILL NO 01 </t>
    </r>
    <r>
      <rPr>
        <sz val="12"/>
        <rFont val="Times New Roman"/>
        <family val="1"/>
      </rPr>
      <t>PRELIMINARIES</t>
    </r>
  </si>
  <si>
    <r>
      <rPr>
        <b/>
        <sz val="12"/>
        <rFont val="Times New Roman"/>
        <family val="1"/>
      </rPr>
      <t xml:space="preserve">BILL NO 02 </t>
    </r>
    <r>
      <rPr>
        <sz val="12"/>
        <rFont val="Times New Roman"/>
        <family val="1"/>
      </rPr>
      <t>DAY WORKS</t>
    </r>
  </si>
  <si>
    <t>Total Contract Value</t>
  </si>
  <si>
    <r>
      <rPr>
        <sz val="12"/>
        <rFont val="Times New Roman"/>
        <family val="1"/>
      </rPr>
      <t>The value of VAT must be included in item rates and will not be considered separately as per Ministry of Financial regulations</t>
    </r>
  </si>
  <si>
    <t>TOTAL PRELIMINARIES</t>
  </si>
  <si>
    <t xml:space="preserve"> Facilities for Engineers Employers</t>
  </si>
  <si>
    <t xml:space="preserve"> Site Transportation for Engineers Employers</t>
  </si>
  <si>
    <t>TOTAL DAYWORKS</t>
  </si>
  <si>
    <t>TOTAL NEW HOUSING UNITS</t>
  </si>
  <si>
    <t xml:space="preserve"> TOTAL EXTERNAL WORKS AND EXTERNAL SERVICES</t>
  </si>
  <si>
    <t xml:space="preserve">Unit Price </t>
  </si>
  <si>
    <t>Unit Price</t>
  </si>
  <si>
    <t>STORM WATER BILL</t>
  </si>
  <si>
    <t xml:space="preserve"> Demolishing and Clearing the Construction Area.</t>
  </si>
  <si>
    <t xml:space="preserve"> Demolishing the complete buildings up to foundations and removing the debris from the Construction Site as per Engineer/Employer Instruction (including cart-away from the Project Site)</t>
  </si>
  <si>
    <t xml:space="preserve"> LS</t>
  </si>
  <si>
    <t xml:space="preserve"> 2</t>
  </si>
  <si>
    <t xml:space="preserve"> This shall include removing vegetation, undergrowth, bushes, hedges, trees, other temporary buildings, structures,... or the like all complete to clean the full plot.</t>
  </si>
  <si>
    <t xml:space="preserve"> Bulk Excavation to receive foundations in any kind of soil including hard soil and rock, earth sport, underground, surface or running water from whatever source if any, for the new foundation building area including removal of old buildings' foundations, cleaning the site, and removing all debris (not suitable for backfilling) from the project area to the damp yard, contractor to prepare all areas to receive new foundation safely as per drawings and soil report</t>
  </si>
  <si>
    <t xml:space="preserve"> 350</t>
  </si>
  <si>
    <t xml:space="preserve"> 4</t>
  </si>
  <si>
    <t xml:space="preserve"> Approved imported granular fill material compacted in layers in making up levels in the excavation area of the demolished buildings from foundation level up to levels on site plan.</t>
  </si>
  <si>
    <t xml:space="preserve"> 5</t>
  </si>
  <si>
    <t xml:space="preserve"> Approved, selected excavated material backfilled into excavations</t>
  </si>
  <si>
    <t xml:space="preserve"> 7</t>
  </si>
  <si>
    <t xml:space="preserve"> 8</t>
  </si>
  <si>
    <t xml:space="preserve"> Anti-termite treatment</t>
  </si>
  <si>
    <t xml:space="preserve"> Anti-termite treatment to surfaces of ground or filling applied strictly in accordance with the manufacturers printed instructions including digging trenches, backfilling, etc. as required by the manufacturer and the provision of guarantee valid for 10 years</t>
  </si>
  <si>
    <t xml:space="preserve"> 150</t>
  </si>
  <si>
    <t xml:space="preserve"> Poured Concrete - Plain insitu concrete, poured  ordinary Portland Cement (OPC), concrete grade (C15), all in accordance with Drawings and Specifications and including Formwork to give (as struck) finish -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</si>
  <si>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 xml:space="preserve"> Blinding upto 100 mm thickness for the full area under the boundary of foundation.</t>
  </si>
  <si>
    <t xml:space="preserve"> 17.5</t>
  </si>
  <si>
    <t xml:space="preserve"> Reinforced insitu concrete, poured vibrated Sulphate Resistent Cement (OPC), concrete grade (C30), all in accordance with Drawings and Specifications and including Reinforcement - High yield strength deformed bars, conforming to BS 4449 (grade 460) including cutting, bending, binding, binding wire, cover blocks, tests and all necessary fixing accessories, all in accordance with the Drawings and Specifications and including Formwork to give (as struck) finish -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</si>
  <si>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 xml:space="preserve"> 11</t>
  </si>
  <si>
    <t xml:space="preserve"> 14</t>
  </si>
  <si>
    <t xml:space="preserve"> 12</t>
  </si>
  <si>
    <t xml:space="preserve"> Reinforced insitu concrete, poured vibrated Sulphate Resistent Cement (OPC), concrete grade (C30), all in accordance with Drawings and Specifications and including Reinforcement - High yield strength deformed bars, conforming to BS 4449 (grade 460) including cutting, bending, binding, binding wire, cover blocks, tests and all necessary fixing accessories, all in accordance with the Drawings and Specifications and including Steel fabric reinforcement, A-393 BRC mesh in two layers. All complete in accordance with the Drawings and Specifications and including Formwork to give (as struck) finish -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</si>
  <si>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 xml:space="preserve"> Beds (Slabs, Grade slabs) upto 200 mm thickness</t>
  </si>
  <si>
    <t xml:space="preserve"> 13</t>
  </si>
  <si>
    <t xml:space="preserve"> Reinforced insitu concrete, poured vibrated ordinary Portland Cement (OPC), concrete grade (C40), all in accordance with Drawings and Specifications and including Reinforcement - High yield strength deformed bars, conforming to BS 4449 (grade 460) including cutting, bending, binding, binding wire, cover blocks, tests and all necessary fixing accessories, all in accordance with the Drawings and Specifications and including Formwork to give (as struck) finish -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</si>
  <si>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 xml:space="preserve"> Concrete / Block work Protection</t>
  </si>
  <si>
    <t xml:space="preserve"> Polythene sheet, gauge 1200, all in accordance with Drawings and Specifications - to surfaces of structural members in contact with soil</t>
  </si>
  <si>
    <t xml:space="preserve"> 115</t>
  </si>
  <si>
    <t xml:space="preserve"> 15</t>
  </si>
  <si>
    <t xml:space="preserve"> Bitumenous Sheet</t>
  </si>
  <si>
    <t xml:space="preserve"> Bitumenous Paint base coat and 4mm membrane to the surfaces of concrete and block work( foundation + solid block work + short columns )</t>
  </si>
  <si>
    <t xml:space="preserve"> Bitumenous Paint</t>
  </si>
  <si>
    <t xml:space="preserve"> Bitumenous paint 3 coats to the surfaces of concrete ( plinth beams )</t>
  </si>
  <si>
    <t xml:space="preserve"> 145</t>
  </si>
  <si>
    <t xml:space="preserve"> Concrete solid block work, 10.5N/mm2 compressive strength, cement and sand mortar (1:3), with and including stiffener columns and stiffener beams, as required, all in accordance with Drawings and Specifications</t>
  </si>
  <si>
    <t xml:space="preserve"> Block work Protection including Bitumenous Paint and Bitumenous Sheet</t>
  </si>
  <si>
    <t xml:space="preserve"> Protection to concrete and excavated area, masonry/block work in contact with soil, Bitumenous Paint base coat of approved bituminous paint, 4mm bituminous sheet, and including flexible board all in accordance with Drawings and Specifications - to surfaces of block work in contact with soil.up to bottom of plinth beams</t>
  </si>
  <si>
    <t xml:space="preserve"> 250</t>
  </si>
  <si>
    <t xml:space="preserve"> The Contractor should read and quote as per the supply, laying, and all works are included and required approval &amp; commissioning as per contract standards should be under the Contractor scope of work including required charges, also including DNP scope and guarantees for material.</t>
  </si>
  <si>
    <t xml:space="preserve"> The Contractor is adviced to complete the project as per the drawing, boq and specification also need to complete if anything missing in the drawing but mentioned in the boq/specification and viceversa. Should the Tenderer fail to insert any item here, it will be deemed that this lump sum price for the tender includes all items and no subsequent claim for any additional items will be entertained</t>
  </si>
  <si>
    <t xml:space="preserve"> 21</t>
  </si>
  <si>
    <t xml:space="preserve"> The Contractor is to detail below any additional items with quantities and rates not previously included to complete the build up of the lump sum tender price for this section of the works. Should the Tenderer fail to insert any item here, it will be deemed that this lump sum price for the tender includes all items and no subsequent claim for any additional items will be entertained</t>
  </si>
  <si>
    <t xml:space="preserve"> Poured Concrete - Reinforced insitu concrete, poured vibrated Ordinary Portland Cement (OPC), concrete grade (C30), all in accordance with the Drawings and Specifications and including Reinforcement - High yield strength deformed bars, conforming to BS 4449 (grade 460) including cutting, bending, binding, binding wire, cover blocks, tests and all necessary fixing accessories, all in accordance with the Drawings and Specifications and including Formwork to give (as struck) finish -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</si>
  <si>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 xml:space="preserve"> Suspended slabs, waist slabs, landings,stair etc. not exceeding 250 mm thickness</t>
  </si>
  <si>
    <t xml:space="preserve"> 24</t>
  </si>
  <si>
    <t xml:space="preserve"> Ramp and Entrances Stairs</t>
  </si>
  <si>
    <t xml:space="preserve"> Internal Walls - Ordinary Portland cement concrete  blocks, 7.5N/mm2 compressive strength, cement and sand mortar (1:3), with and including stiffener columns and stiffener beams, as required, all in accordance with the Drawings and Specifications</t>
  </si>
  <si>
    <t xml:space="preserve"> Providing and applying Sunken Slab Waterproof course with bituminous paint and bituminous membrane conforming to BS:6398 in horizontal joints laid strictly in compliance with approved manufacturers printed instructions and as directed by Engineer.</t>
  </si>
  <si>
    <t xml:space="preserve"> 28</t>
  </si>
  <si>
    <t xml:space="preserve"> Backgrounds and Finishes - Roof screed, light weight concrete screed 1000 kg/m3, minimum 50 mm thick to a maximum of 125 mm thick</t>
  </si>
  <si>
    <t xml:space="preserve"> 50 mm (minimum) bed laid on concrete to falls and cross falls</t>
  </si>
  <si>
    <t xml:space="preserve"> 130</t>
  </si>
  <si>
    <t xml:space="preserve"> 29</t>
  </si>
  <si>
    <t xml:space="preserve"> 4 mm thick torch applied acrylic polypropylene modified bitumen membrane with non-woven polyester reinforcement and polyethylene film waterproof membrane including primer to roofs as per the manufacturer printed instructions complete as specified. (Contractor to allow for 10 years guarantee and 24 hours flood test)</t>
  </si>
  <si>
    <t xml:space="preserve"> To roof decks, 4mm thick, on flat surface, laid to falls and cross falls</t>
  </si>
  <si>
    <t xml:space="preserve"> In up stands/drops and around plinths (minimum 300 mm high) including dressing over fillet  grooves, sealant, tantalized batten etc. complete, to roof deck</t>
  </si>
  <si>
    <t xml:space="preserve"> LM</t>
  </si>
  <si>
    <t xml:space="preserve"> 85</t>
  </si>
  <si>
    <t xml:space="preserve"> Insulation - Extruded high density polystyrene foam board insulation, with rigid closed cell structure, all in accordance with the specifications and drawings, external</t>
  </si>
  <si>
    <t xml:space="preserve"> to roof decks - 50 mm thick, laid on concrete, spot bonded to waterproofing</t>
  </si>
  <si>
    <t xml:space="preserve"> 300 x 300 x 30 mm white cement tiles bedded on and including cement mortar screed to falls and cross falls, jointed in cement mortar, movements joints etc., complete - to roof</t>
  </si>
  <si>
    <t xml:space="preserve"> Allow for Providing dressing around 110mm/83mm UPVC rainwater outlets roof duct, gargoyle, extract fan, soil and vent pipe</t>
  </si>
  <si>
    <t xml:space="preserve"> Stainless steel handrail as shown in the Architectural drawing, shop drawings with full sections details to be approved before supply. Note : all stainless steel material shall be of 316 grade.</t>
  </si>
  <si>
    <t xml:space="preserve"> Supply and install a 3800mm high CAT steel Ladder as specified and detailed on the drawing, with anti-correlation epoxy pain.</t>
  </si>
  <si>
    <t xml:space="preserve"> Wood Doors - Note</t>
  </si>
  <si>
    <t xml:space="preserve"> 1) All timber and veneers shall be well conditioned, seasoned, dried, vacuum treated and preservative treated all as specified</t>
  </si>
  <si>
    <t xml:space="preserve"> 2) Prepare the surface, prime and apply two under coats and two finishing coats of high gloss enamel paint of approved quality, make and shade for shutter and frame</t>
  </si>
  <si>
    <t xml:space="preserve"> 3) All hardwood timber shall be best quality Meranti</t>
  </si>
  <si>
    <t xml:space="preserve"> 4) Sizes stated are structural opening sizes</t>
  </si>
  <si>
    <t xml:space="preserve"> Wood Doors  -Door comprising profiled heads, jambs, frames, subframes, architraves, beadings, mouldings, plinth block, ply linings, infill panels, mastic and other pointing, fixings, neoprene seal master lining and all ancillary items including fixing of ironmongery and final decoration for a complete installation all as specified and as detailed on drawing including required reinforcement cement concrete lintels and including Supply and fix ironmongery as specified in schedule and approved; fixed to hardwood, including paint (All locks shall be under master key system) as detailed on drawing Note : all stainless steel fittings shall be of 316 grade</t>
  </si>
  <si>
    <t xml:space="preserve"> Type D1, double leaf, overall size 1800x2500mm high</t>
  </si>
  <si>
    <t xml:space="preserve"> Type D2, single leaf, overall size 1000x2500mm high</t>
  </si>
  <si>
    <t xml:space="preserve"> Type D3, single leaf, overall size 1000x2100mm high</t>
  </si>
  <si>
    <t xml:space="preserve"> Type D4, single leaf overall size 800x2100mm high</t>
  </si>
  <si>
    <t xml:space="preserve"> Type D5, single leaf overall size 1000x2100mm high</t>
  </si>
  <si>
    <t xml:space="preserve"> No.</t>
  </si>
  <si>
    <t xml:space="preserve"> Type D6, single leaf overall size 1000x2400mm high</t>
  </si>
  <si>
    <t xml:space="preserve"> WPC Solid Core Doors  -Door comprising profiled heads, jambs, frames, subframes, architraves, beadings, moldings, plinth block, ply linings, infill panels, mastic and other pointing, fixings, neoprene seal master lining and all ancillary items including fixing of ironmongery and final decoration for a complete installation all as specified and as detailed on drawing including required reinforcement cement concrete lintels and including Supply and fix ironmongery as specified in schedule and approved; fixed to hardcore, including paint and 10 years guarantee (All locks shall be under master key system) as detailed on drawing Note: all stainless steel fittings shall be of 316-grade</t>
  </si>
  <si>
    <t xml:space="preserve"> Ironmongery - Supply and fix of ironmongery, with and including all necessary fixing accessories and screws to match, all in accordance with the specifications and drawings - to wood doors</t>
  </si>
  <si>
    <t xml:space="preserve"> UPVC windows  -window sets complete with all necessary ironmongery as specified, including fixing to blockwork or concrete and mastic pointing all around, all as specified and detailed on drawing and including required reinforcement cement concrete lintels</t>
  </si>
  <si>
    <t xml:space="preserve"> Type W1, overall size 2000 x 1300mm high</t>
  </si>
  <si>
    <t xml:space="preserve"> Type W2, overall size 1200 x 900mm high,</t>
  </si>
  <si>
    <t xml:space="preserve"> UPVC ventilator  -ventilator sets complete with all necessary ironmongery as specified, including fixing to blockwork or concrete and mastic pointing all around, all as specified and detailed on drawing and including required reinforcement cement concrete lintels</t>
  </si>
  <si>
    <t xml:space="preserve"> Type V, overall size 600 x 600mm high</t>
  </si>
  <si>
    <t xml:space="preserve"> Backgrounds - Plaster, cement and sand (1:3), internal - To walls and columns, on concrete block base, internal including stainsteel mesh, butterfly angle between the concrete column and block work.</t>
  </si>
  <si>
    <t xml:space="preserve"> Backgrounds - Plaster, cement and sand (1:4), external - To walls and columns, on concrete block base, external including stainsteel mesh, butterfly angle between the concrete column and block work.</t>
  </si>
  <si>
    <t xml:space="preserve"> 480</t>
  </si>
  <si>
    <t xml:space="preserve"> Allow for laying of Marble Threshold as per the specifications, drawings and to approval of the Engineer.</t>
  </si>
  <si>
    <t xml:space="preserve"> Floor Tiles: FF1 Ceramic floor tiles laid on screed grouted with waterproof coloured compatible mortar to manufacturers specification/instruction; internally</t>
  </si>
  <si>
    <t xml:space="preserve"> 600 x 600 x 8 mm Anti-Slip tiling to floor</t>
  </si>
  <si>
    <t xml:space="preserve"> Floor Tiles: FF2 Ceramic floor tiles laid on screed grouted with waterproof coloured compatible mortar to manufacturers specification/instruction; internally</t>
  </si>
  <si>
    <t xml:space="preserve"> Floor Tiles: FF3 Ceramic floor tiles laid on screed grouted with waterproof coloured compatible mortar to manufacturers specification/instruction; internally</t>
  </si>
  <si>
    <t xml:space="preserve"> 600 x 200 x 8 mm Anti-Slip tiling to floor</t>
  </si>
  <si>
    <t xml:space="preserve"> Floor Tiles: FF4 30mm tk. Granite laid on screed grouted with waterproof coloured compatible mortar to manufacturers specification/instruction; internally</t>
  </si>
  <si>
    <t xml:space="preserve"> 65</t>
  </si>
  <si>
    <t xml:space="preserve"> Floor Tiles: FF9 Granite tiles laid on screed grouted with waterproof coloured compatible mortar to manufacturers specification/instruction; internally</t>
  </si>
  <si>
    <t xml:space="preserve"> Skirting Tiles: FF1 Ceramic tiles laid on screed grouted with waterproof coloured compatible mortar to manufacturers specification/instruction; internally</t>
  </si>
  <si>
    <t xml:space="preserve"> Skirting Tiles: FF4 30mm tk. Granite laid on screed grouted with waterproof coloured compatible mortar to manufacturers specification/instruction; internally</t>
  </si>
  <si>
    <t xml:space="preserve"> Allow for construction of Decorative projection, weather coat  stoneshield with 10 years garantee as per the specifications, drawings and to approval of the Engineer</t>
  </si>
  <si>
    <t xml:space="preserve"> F1/F2 External Elevation</t>
  </si>
  <si>
    <t xml:space="preserve"> 470</t>
  </si>
  <si>
    <t xml:space="preserve"> Allow for construction of Decorative projection as per the specifications, drawings and to approval of the Engineer</t>
  </si>
  <si>
    <t xml:space="preserve"> Wall Finishes - FF1 Painting and decorating, Eligance marble paint finish internal</t>
  </si>
  <si>
    <t xml:space="preserve"> Smooth Plaster, Painting, Anti Fungal and Water Resistance</t>
  </si>
  <si>
    <t xml:space="preserve"> Wall Finishes - FF2 Ceramic Tiles 600 X 200 X 8 Anti Slip</t>
  </si>
  <si>
    <t xml:space="preserve"> Wall Finishes - FF3 Ceramic Tiles 600 X 200 X 8 Anti Slip</t>
  </si>
  <si>
    <t xml:space="preserve"> Wall Finishes - FF4 Smooth Plaster, Painting,Eligance marble paint finish Anti Fungal and Water Resistance</t>
  </si>
  <si>
    <t xml:space="preserve"> Ceilings Finishes - FF1 Painting and decorating,Eligance marble paint finish internal</t>
  </si>
  <si>
    <t xml:space="preserve"> Ceilings Finishes - FF2 Smooth Plaster, Painting,Eligance marble paint finish Anti Fungal and Water Resistance</t>
  </si>
  <si>
    <t xml:space="preserve"> Ceilings Finishes - FF3 Smooth Plaster, Painting, Eligance marble paint finish Anti Fungal and Water Resistance</t>
  </si>
  <si>
    <t xml:space="preserve"> Ceilings Finishes - FF4 Smooth Plaster, Painting, Eligance marble paint finish Anti Fungal and Water Resistance</t>
  </si>
  <si>
    <t xml:space="preserve"> Allow for supply, fabricate and installation of Gas Cyclinder Stage as per the specifications, drawings and to approval of the Engineer.</t>
  </si>
  <si>
    <t xml:space="preserve"> Allow for core-cut, remove and smooth finish as per the specifications, drawings and to approval of the Engineer.</t>
  </si>
  <si>
    <t xml:space="preserve"> Drain Open to connect Sewage Tanker to the Holding Tank, size 550 X 400mm</t>
  </si>
  <si>
    <t xml:space="preserve"> Allow for supply, fabricate and installation of water point protection as per the specifications, drawings and to approval of the Engineer.</t>
  </si>
  <si>
    <t xml:space="preserve"> Allow for supply, fabricate and installation of Meter Panel protection as per the specifications, drawings and to approval of the Engineer.</t>
  </si>
  <si>
    <t xml:space="preserve"> Allow for supply, fabricate and installation of Kitchen Stage including Stage Concrete, Stage Korean Top and Stage Area Ceramic Wall Tile as per the specifications, drawings and to approval of the Engineer.</t>
  </si>
  <si>
    <t xml:space="preserve"> Kitchen Stage Concrete, Korean Top, Ceramic Wall Tiles</t>
  </si>
  <si>
    <t xml:space="preserve"> Allow for supply, fabricate and installation of Kitchen Hood Range including Aluminum Kitchen Cabinet above, and Aluminum Kitchen Cabinet below all as per the specifications, drawings and to approval of the Engineer.</t>
  </si>
  <si>
    <t xml:space="preserve"> Kitchen Hood Range, Cabinet above and below Cabinet.</t>
  </si>
  <si>
    <t xml:space="preserve"> External Works - General Site Works</t>
  </si>
  <si>
    <t xml:space="preserve"> Allow for the Contractor to prepare RCC foundation, column, block work, plastering and painting as per the Architectural Drawing and as per Engineer / Employer Instruction to complete the Boundary Wall.</t>
  </si>
  <si>
    <t xml:space="preserve"> 128</t>
  </si>
  <si>
    <t xml:space="preserve"> Allow for the Contractor to supply, fabricate and installation of single leaf Wicket Gate as per the Architectural Drawing and follow as per Engineer / Employer Instructions, including anti corrotion epoxy paint.</t>
  </si>
  <si>
    <t xml:space="preserve"> Allow for the Contractor to supply, fabricate and installation of single leaf Car Entrance Gate as per the Architectural Drawing and follow as per Engineer / Employer Instructions, including anti corrotion epoxy paint</t>
  </si>
  <si>
    <t xml:space="preserve"> Entrance Gate</t>
  </si>
  <si>
    <t xml:space="preserve"> Allow for the Contractor to supply, fabricate and installation of Wicket Gate solid WPC with 10 years garantee as per the Architectural Drawing and follow as per Engineer / Employer Instructions, including anti corrotion epoxy paint.</t>
  </si>
  <si>
    <t xml:space="preserve"> Allow for the Contractor to design and build the Shaded Car Park for  houses with Solar Panel Canopy, as per Engineer / Employer Instruction.</t>
  </si>
  <si>
    <t xml:space="preserve"> UPVC pipes to BS 4514 1983 and BS 4660 1973 including all joints and accessories and brackets  Note</t>
  </si>
  <si>
    <t xml:space="preserve"> UPVC drain pipes to BS 4514 1983 and BS 4660 1973 including all joints with ring seals  fittings and accessories in the running length</t>
  </si>
  <si>
    <t xml:space="preserve"> ditto</t>
  </si>
  <si>
    <t xml:space="preserve"> Grease Trap</t>
  </si>
  <si>
    <t xml:space="preserve"> 300 mm and 300 mm grease trap of approximate 300 mm depth set in concrete Grade 30 Nmm� joints to drain pipes complete with 300 mm and 300 mm medium duty cast iron cover and frame.</t>
  </si>
  <si>
    <t xml:space="preserve"> Manhole size 600 and 600 mm internally upto 1.24m deep to invert</t>
  </si>
  <si>
    <t xml:space="preserve"> Polypropylene random copolymer pipe Note</t>
  </si>
  <si>
    <t xml:space="preserve"> Cold and Hot water - Valves Note</t>
  </si>
  <si>
    <t xml:space="preserve"> Rain Water UPVC Pipes Note</t>
  </si>
  <si>
    <t xml:space="preserve"> Allow for working drawings and as-built drawings.</t>
  </si>
  <si>
    <t xml:space="preserve"> 12000 BTU HR capacity high level wall mounted split type air conditioner including connection to electrical outlet and concrete base foundation.</t>
  </si>
  <si>
    <t xml:space="preserve"> Sub Main Distribution panel board in weather proof Stainless steel enclosure IP 65 including 1nos 200A  MCCB and 3 NOS 63A,63A,45A MCCB Outgoing  Breakers and supports and Busbar and earthing and cable glands and  Ammeters and Voltmeters and internal wiring interconnection 1PH  3PH KWH series meters and  labels as per approved MHEW drawings</t>
  </si>
  <si>
    <t xml:space="preserve"> Distribution Board Note</t>
  </si>
  <si>
    <t xml:space="preserve"> 63A TPN 10 way DBs</t>
  </si>
  <si>
    <t xml:space="preserve"> 45A TPN 6way DBs</t>
  </si>
  <si>
    <t xml:space="preserve"> Cable  Note</t>
  </si>
  <si>
    <t xml:space="preserve"> 4C and 35 mm� + 1C and 25  mm� ECC from SMDBs to DB1</t>
  </si>
  <si>
    <t xml:space="preserve"> 4C and 35 mm� + 1C and 25  mm� ECC from SMDBs to DB2</t>
  </si>
  <si>
    <t xml:space="preserve"> 4C and 25 mm� + 1C and 16  mm� ECC from SMDB to DB3</t>
  </si>
  <si>
    <t xml:space="preserve"> Small Power  Accessories and cable and Conduits Installation Note</t>
  </si>
  <si>
    <t xml:space="preserve"> 20A DP flux outlet for AC</t>
  </si>
  <si>
    <t xml:space="preserve"> Lighting  Accessories and cable and conduits installation Note</t>
  </si>
  <si>
    <t xml:space="preserve"> 40w fluorescent fitting  light fixture</t>
  </si>
  <si>
    <t xml:space="preserve"> 40w fluorescent  light fixture for toilet</t>
  </si>
  <si>
    <t xml:space="preserve"> 25w led wall mounted light fixture whether proof IP66</t>
  </si>
  <si>
    <t xml:space="preserve"> TOTAL 3 NOS HOUSING UNITS</t>
  </si>
  <si>
    <t>TOTAL PROTECTION AND STORM WATER DRAINAGE SYSTEM</t>
  </si>
  <si>
    <t>TOTAL EXISTING HOUSING UNITS 29 NOS</t>
  </si>
  <si>
    <r>
      <rPr>
        <b/>
        <sz val="12"/>
        <rFont val="Times New Roman"/>
        <family val="2"/>
      </rPr>
      <t xml:space="preserve">BILL NO 00 </t>
    </r>
    <r>
      <rPr>
        <sz val="12"/>
        <rFont val="Times New Roman"/>
        <family val="2"/>
      </rPr>
      <t>PROVISIONAL SUMS</t>
    </r>
  </si>
  <si>
    <r>
      <rPr>
        <b/>
        <sz val="12"/>
        <rFont val="Times New Roman"/>
        <family val="1"/>
      </rPr>
      <t xml:space="preserve">BILL NO 03 </t>
    </r>
    <r>
      <rPr>
        <sz val="12"/>
        <rFont val="Times New Roman"/>
        <family val="1"/>
      </rPr>
      <t>NEW HOUSING UNITS 20 NOS</t>
    </r>
  </si>
  <si>
    <r>
      <rPr>
        <b/>
        <sz val="12"/>
        <rFont val="Times New Roman"/>
        <family val="1"/>
      </rPr>
      <t xml:space="preserve">BILL NO 04 </t>
    </r>
    <r>
      <rPr>
        <sz val="12"/>
        <rFont val="Times New Roman"/>
        <family val="1"/>
      </rPr>
      <t>EXTERNAL WORKS AND EXTERNAL SERVICES</t>
    </r>
  </si>
  <si>
    <r>
      <rPr>
        <b/>
        <sz val="12"/>
        <rFont val="Times New Roman"/>
        <family val="1"/>
      </rPr>
      <t xml:space="preserve">BILL NO 05 </t>
    </r>
    <r>
      <rPr>
        <sz val="12"/>
        <rFont val="Times New Roman"/>
        <family val="1"/>
      </rPr>
      <t>MAINTENANCE WORKS FOR THE EXISTING HOUSING UNITS - 29 NO.</t>
    </r>
  </si>
  <si>
    <r>
      <t xml:space="preserve">BILL NO 07 </t>
    </r>
    <r>
      <rPr>
        <sz val="12"/>
        <rFont val="Times New Roman"/>
        <family val="1"/>
      </rPr>
      <t>3 NO. HOUSING UNITS</t>
    </r>
  </si>
  <si>
    <r>
      <rPr>
        <b/>
        <sz val="12"/>
        <rFont val="Times New Roman"/>
        <family val="1"/>
      </rPr>
      <t>BILL NO 06</t>
    </r>
    <r>
      <rPr>
        <sz val="12"/>
        <rFont val="Times New Roman"/>
        <family val="1"/>
      </rPr>
      <t xml:space="preserve"> PROTECTION AND STORM WATER DRAINAGE</t>
    </r>
  </si>
  <si>
    <r>
      <rPr>
        <b/>
        <sz val="12"/>
        <rFont val="Times New Roman"/>
        <family val="1"/>
      </rPr>
      <t>CONTINGENCIES 10%</t>
    </r>
    <r>
      <rPr>
        <sz val="12"/>
        <rFont val="Times New Roman"/>
        <family val="1"/>
      </rPr>
      <t xml:space="preserve"> (Bill No 03 +Bill No 04 + Bill No 05 + Bill No 06 + Bill No 07)</t>
    </r>
  </si>
  <si>
    <t>3 HOUSING UNITS</t>
  </si>
  <si>
    <t xml:space="preserve"> TOTAL 1 NOS HOUSING UNITS</t>
  </si>
  <si>
    <t>helper</t>
  </si>
  <si>
    <t>Masen</t>
  </si>
  <si>
    <t>Yes</t>
  </si>
  <si>
    <t>plumper</t>
  </si>
  <si>
    <t>steel man</t>
  </si>
  <si>
    <t>carpenter</t>
  </si>
  <si>
    <t>Tielman</t>
  </si>
  <si>
    <t>draftsman</t>
  </si>
  <si>
    <t>electrician</t>
  </si>
  <si>
    <t>AC tec</t>
  </si>
  <si>
    <t>welder</t>
  </si>
  <si>
    <t>doorman</t>
  </si>
  <si>
    <t>windoman</t>
  </si>
  <si>
    <t>Painter</t>
  </si>
  <si>
    <t>demolishing team</t>
  </si>
  <si>
    <t>Concret Team</t>
  </si>
  <si>
    <t>SS work</t>
  </si>
  <si>
    <t xml:space="preserve"> The contractor to Replace all Wooden Doors for Toilets and Roof to be UPVC and to respect the following to:
1 Door sizes stated are structural opening size
2 Tenderers shall strictly follow the door size as per site conditions prior to pricing this section. No additional payments will be entertained due to failure or and misunderstanding by the tenderer.
3 Rate shall include for supply and fixing of new all necessary ironmongery as specified
4 Roof doors shall be airtight rubbersealed and weather resistant 
5 Rate shall include final finishing and final decoration as per the specification drawings and schedule and to the approval of the Engineer</t>
  </si>
  <si>
    <t xml:space="preserve"> The contractor is to Maintain the existing Aluminum Windows for and to respect the following to:
1 Windows sizes stated are structural opening size
2 Contractor shall strictly follow the Windows size as per site conditions prior to pricing this section. No additional payments will be entertained due to failure or and misunderstanding by the contractor.
3 Rate shall include for supply and fixing of new all necessary ironmongery as specified
4 Windows shall be airtight rubbersealed and weather resistant.
5 Rate shall include final finishing and final decoration as per the specification drawings and schedule and to the approval of the Engineer
6 The exterior glass is to be replaced with new 6 mm Reflected Glass and 6 mm smokey glass for toilets complete systems including all stiffeners fasteners sealants jointing and material thickness as required to form highquality systems in accordance with specifications.
7 Contractor to replace the Insect mesh to be aluminum type not metal.
8 the contractor is to replace any Aluminum section that could be totally damaged and can not be rectified.</t>
  </si>
  <si>
    <t>Solar</t>
  </si>
  <si>
    <t>TV Dish</t>
  </si>
  <si>
    <t>GRC MESH</t>
  </si>
  <si>
    <t>PLANTER BOX</t>
  </si>
  <si>
    <t>BLOCK WORK</t>
  </si>
  <si>
    <t>WATER PROOFING</t>
  </si>
  <si>
    <t>DOORS</t>
  </si>
  <si>
    <t>WOODEN DOORS</t>
  </si>
  <si>
    <t>WPC DOORS</t>
  </si>
  <si>
    <t>IRON MONGRY</t>
  </si>
  <si>
    <t>UPVC DOORS</t>
  </si>
  <si>
    <t>FLOOR TILES</t>
  </si>
  <si>
    <t>ANTI SLIPS</t>
  </si>
  <si>
    <t>STAIRCASE STEPS</t>
  </si>
  <si>
    <t>CERAMIC TILES</t>
  </si>
  <si>
    <t>INTERNAL PAINT</t>
  </si>
  <si>
    <t>EXTERNAL PAINT</t>
  </si>
  <si>
    <t>EXTERNAL ELEVATION</t>
  </si>
  <si>
    <t>sanitary installations</t>
  </si>
  <si>
    <t xml:space="preserve">water supply and draingae </t>
  </si>
  <si>
    <t>telecom system</t>
  </si>
  <si>
    <t>demolitios</t>
  </si>
  <si>
    <t>doors and windows</t>
  </si>
  <si>
    <t>water supply</t>
  </si>
  <si>
    <t>AC</t>
  </si>
  <si>
    <t>ELECTRICAL</t>
  </si>
  <si>
    <t>SANITARY WARE ND INSTALLATION</t>
  </si>
  <si>
    <t>till  super structure</t>
  </si>
  <si>
    <t>concrete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</si>
</sst>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
    <numFmt numFmtId="165" formatCode="0."/>
    <numFmt numFmtId="166" formatCode="#,##0.000"/>
    <numFmt numFmtId="167" formatCode="_(* #,##0.000_);_(* \(#,##0.000\);_(* &quot;-&quot;??_);_(@_)"/>
  </numFmts>
  <fonts count="32">
    <font>
      <sz val="10"/>
      <color theme="1"/>
      <name val="Arial"/>
      <family val="2"/>
    </font>
    <font>
      <b/>
      <sz val="10"/>
      <color theme="1"/>
      <name val="Arial"/>
      <family val="2"/>
    </font>
    <font>
      <sz val="12"/>
      <color theme="1"/>
      <name val="Arial"/>
      <family val="2"/>
    </font>
    <font>
      <b/>
      <sz val="12"/>
      <color theme="1"/>
      <name val="Arial"/>
      <family val="2"/>
    </font>
    <font>
      <b/>
      <sz val="10"/>
      <name val="Arial"/>
      <family val="2"/>
    </font>
    <font>
      <sz val="10"/>
      <name val="Arial"/>
      <family val="2"/>
    </font>
    <font>
      <sz val="9"/>
      <color rgb="FF000000"/>
      <name val="Arial MT"/>
      <family val="2"/>
    </font>
    <font>
      <sz val="9"/>
      <name val="Arial MT"/>
    </font>
    <font>
      <sz val="9"/>
      <name val="Arial MT"/>
      <family val="2"/>
    </font>
    <font>
      <sz val="10"/>
      <color theme="1"/>
      <name val="Arial"/>
      <family val="2"/>
    </font>
    <font>
      <b/>
      <sz val="15"/>
      <name val="Times New Roman"/>
      <family val="1"/>
    </font>
    <font>
      <b/>
      <u/>
      <sz val="12"/>
      <name val="Times New Roman"/>
      <family val="1"/>
    </font>
    <font>
      <i/>
      <u/>
      <sz val="12"/>
      <name val="Times New Roman"/>
      <family val="1"/>
    </font>
    <font>
      <b/>
      <sz val="12"/>
      <name val="Times New Roman"/>
      <family val="1"/>
    </font>
    <font>
      <sz val="12"/>
      <color rgb="FF000000"/>
      <name val="Times New Roman"/>
      <family val="2"/>
    </font>
    <font>
      <sz val="12"/>
      <name val="Times New Roman"/>
      <family val="1"/>
    </font>
    <font>
      <sz val="16"/>
      <color rgb="FF000000"/>
      <name val="Times New Roman"/>
      <family val="1"/>
    </font>
    <font>
      <sz val="10"/>
      <color rgb="FFFF0000"/>
      <name val="Times New Roman"/>
      <family val="2"/>
    </font>
    <font>
      <b/>
      <sz val="16"/>
      <name val="Times New Roman"/>
      <family val="1"/>
    </font>
    <font>
      <b/>
      <sz val="10"/>
      <color rgb="FF000000"/>
      <name val="Times New Roman"/>
      <family val="1"/>
    </font>
    <font>
      <b/>
      <sz val="9"/>
      <color theme="1"/>
      <name val="Arial"/>
      <family val="2"/>
    </font>
    <font>
      <sz val="9"/>
      <color theme="1"/>
      <name val="Arial"/>
      <family val="2"/>
    </font>
    <font>
      <sz val="12"/>
      <name val="Times New Roman"/>
      <family val="2"/>
    </font>
    <font>
      <b/>
      <sz val="12"/>
      <name val="Times New Roman"/>
      <family val="2"/>
    </font>
    <font>
      <sz val="16"/>
      <name val="Times New Roman"/>
      <family val="2"/>
    </font>
    <font>
      <sz val="16"/>
      <name val="Times New Roman"/>
      <family val="1"/>
    </font>
    <font>
      <sz val="10"/>
      <color rgb="FFFF0000"/>
      <name val="Arial"/>
      <family val="2"/>
    </font>
    <font>
      <b/>
      <sz val="9"/>
      <color rgb="FFFF0000"/>
      <name val="Arial"/>
      <family val="2"/>
    </font>
    <font>
      <b/>
      <sz val="10"/>
      <color rgb="FFFF0000"/>
      <name val="Arial"/>
      <family val="2"/>
    </font>
    <font>
      <b/>
      <sz val="12"/>
      <color rgb="FFFF0000"/>
      <name val="Arial"/>
      <family val="2"/>
    </font>
    <font>
      <sz val="14"/>
      <color theme="1"/>
      <name val="Arial"/>
      <family val="2"/>
    </font>
    <font>
      <sz val="14"/>
      <color rgb="FFFF0000"/>
      <name val="Arial"/>
      <family val="2"/>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79998168889431442"/>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auto="1"/>
      </left>
      <right style="thin">
        <color auto="1"/>
      </right>
      <top style="thin">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medium">
        <color indexed="64"/>
      </top>
      <bottom style="medium">
        <color indexed="64"/>
      </bottom>
      <diagonal/>
    </border>
    <border>
      <left/>
      <right style="thin">
        <color auto="1"/>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s>
  <cellStyleXfs count="2">
    <xf numFmtId="0" fontId="0" fillId="0" borderId="0"/>
    <xf numFmtId="43" fontId="9" fillId="0" borderId="0" applyFont="0" applyFill="0" applyBorder="0" applyAlignment="0" applyProtection="0"/>
  </cellStyleXfs>
  <cellXfs count="115">
    <xf numFmtId="0" fontId="0" fillId="0" borderId="0" xfId="0" applyAlignment="1">
      <alignment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2" fillId="0" borderId="0" xfId="0" applyFont="1" applyAlignment="1">
      <alignment vertical="center"/>
    </xf>
    <xf numFmtId="0" fontId="5" fillId="0" borderId="0" xfId="0" applyFont="1" applyAlignment="1">
      <alignment horizontal="center" vertical="center"/>
    </xf>
    <xf numFmtId="0" fontId="13" fillId="0" borderId="3" xfId="0" applyFont="1" applyBorder="1" applyAlignment="1">
      <alignment horizontal="center" vertical="center" wrapText="1"/>
    </xf>
    <xf numFmtId="0" fontId="13" fillId="0" borderId="1" xfId="0" applyFont="1" applyBorder="1" applyAlignment="1">
      <alignment horizontal="center" vertical="top" wrapText="1"/>
    </xf>
    <xf numFmtId="165" fontId="14" fillId="0" borderId="3" xfId="0" applyNumberFormat="1" applyFont="1" applyBorder="1" applyAlignment="1">
      <alignment horizontal="center" vertical="top" shrinkToFit="1"/>
    </xf>
    <xf numFmtId="0" fontId="0" fillId="0" borderId="3" xfId="0" applyBorder="1" applyAlignment="1">
      <alignment horizontal="left" vertical="top" wrapText="1"/>
    </xf>
    <xf numFmtId="0" fontId="0" fillId="0" borderId="0" xfId="0" applyAlignment="1">
      <alignment horizontal="left" vertical="top"/>
    </xf>
    <xf numFmtId="166" fontId="0" fillId="0" borderId="0" xfId="0" applyNumberFormat="1" applyAlignment="1">
      <alignment horizontal="left" vertical="top"/>
    </xf>
    <xf numFmtId="0" fontId="17" fillId="0" borderId="0" xfId="0" applyFont="1" applyAlignment="1">
      <alignment horizontal="left" vertical="top"/>
    </xf>
    <xf numFmtId="0" fontId="19" fillId="0" borderId="0" xfId="0" applyFont="1" applyAlignment="1">
      <alignment horizontal="left" vertical="top"/>
    </xf>
    <xf numFmtId="0" fontId="21" fillId="0" borderId="0" xfId="0" applyFont="1" applyAlignment="1">
      <alignment vertical="center"/>
    </xf>
    <xf numFmtId="0" fontId="21" fillId="0" borderId="1" xfId="0" applyFont="1" applyBorder="1" applyAlignment="1">
      <alignment vertical="center" wrapText="1"/>
    </xf>
    <xf numFmtId="0" fontId="21" fillId="0" borderId="1" xfId="0" applyFont="1" applyBorder="1" applyAlignment="1">
      <alignment horizontal="center" vertical="center" wrapText="1"/>
    </xf>
    <xf numFmtId="0" fontId="21" fillId="0" borderId="0" xfId="0" applyFont="1" applyAlignment="1">
      <alignment horizontal="center" vertical="center"/>
    </xf>
    <xf numFmtId="164" fontId="5" fillId="0" borderId="1" xfId="0" applyNumberFormat="1" applyFont="1" applyBorder="1" applyAlignment="1">
      <alignment horizontal="center" vertical="center" wrapText="1"/>
    </xf>
    <xf numFmtId="0" fontId="15" fillId="0" borderId="1" xfId="0" applyFont="1" applyBorder="1" applyAlignment="1">
      <alignment horizontal="left" vertical="top" wrapText="1"/>
    </xf>
    <xf numFmtId="165" fontId="22" fillId="0" borderId="3" xfId="0" applyNumberFormat="1" applyFont="1" applyBorder="1" applyAlignment="1">
      <alignment horizontal="center" vertical="top" shrinkToFit="1"/>
    </xf>
    <xf numFmtId="165" fontId="14" fillId="0" borderId="6" xfId="0" applyNumberFormat="1" applyFont="1" applyBorder="1" applyAlignment="1">
      <alignment horizontal="center" vertical="top" shrinkToFit="1"/>
    </xf>
    <xf numFmtId="165" fontId="14" fillId="0" borderId="1" xfId="0" applyNumberFormat="1" applyFont="1" applyBorder="1" applyAlignment="1">
      <alignment horizontal="center" vertical="top" shrinkToFi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1" fontId="6" fillId="0" borderId="1" xfId="0" applyNumberFormat="1" applyFont="1" applyBorder="1" applyAlignment="1">
      <alignment horizontal="center" vertical="center" shrinkToFit="1"/>
    </xf>
    <xf numFmtId="166" fontId="21" fillId="0" borderId="1" xfId="0" applyNumberFormat="1" applyFont="1" applyBorder="1" applyAlignment="1">
      <alignment horizontal="center" vertical="center" wrapText="1"/>
    </xf>
    <xf numFmtId="166" fontId="21" fillId="0" borderId="0" xfId="0" applyNumberFormat="1" applyFont="1" applyAlignment="1">
      <alignment horizontal="center" vertical="center"/>
    </xf>
    <xf numFmtId="0" fontId="20" fillId="0" borderId="1" xfId="0" applyFont="1" applyBorder="1" applyAlignment="1">
      <alignment vertical="center" wrapText="1"/>
    </xf>
    <xf numFmtId="0" fontId="20" fillId="0" borderId="1" xfId="0" applyFont="1" applyBorder="1" applyAlignment="1">
      <alignment horizontal="center" vertical="center" wrapText="1"/>
    </xf>
    <xf numFmtId="166" fontId="20" fillId="0" borderId="1" xfId="0" applyNumberFormat="1"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166" fontId="1" fillId="0" borderId="1" xfId="0" applyNumberFormat="1" applyFont="1" applyBorder="1" applyAlignment="1">
      <alignment horizontal="center" vertical="center" wrapText="1"/>
    </xf>
    <xf numFmtId="166" fontId="0" fillId="0" borderId="0" xfId="0" applyNumberFormat="1" applyAlignment="1">
      <alignment horizontal="center" vertical="center"/>
    </xf>
    <xf numFmtId="0" fontId="21" fillId="0" borderId="9" xfId="0" applyFont="1" applyBorder="1" applyAlignment="1">
      <alignment vertical="center" wrapText="1"/>
    </xf>
    <xf numFmtId="0" fontId="21" fillId="0" borderId="9" xfId="0" applyFont="1" applyBorder="1" applyAlignment="1">
      <alignment horizontal="center" vertical="center" wrapText="1"/>
    </xf>
    <xf numFmtId="166" fontId="21" fillId="0" borderId="9" xfId="0" applyNumberFormat="1" applyFont="1" applyBorder="1" applyAlignment="1">
      <alignment horizontal="center" vertical="center" wrapText="1"/>
    </xf>
    <xf numFmtId="166" fontId="4" fillId="0" borderId="1" xfId="0" applyNumberFormat="1" applyFont="1" applyBorder="1" applyAlignment="1">
      <alignment horizontal="center" vertical="center" wrapText="1"/>
    </xf>
    <xf numFmtId="166" fontId="5" fillId="0" borderId="1" xfId="0" applyNumberFormat="1" applyFont="1" applyBorder="1" applyAlignment="1">
      <alignment horizontal="center" vertical="center" wrapText="1"/>
    </xf>
    <xf numFmtId="166" fontId="5" fillId="0" borderId="0" xfId="0" applyNumberFormat="1" applyFont="1" applyAlignment="1">
      <alignment horizontal="center" vertical="center"/>
    </xf>
    <xf numFmtId="0" fontId="0" fillId="0" borderId="9" xfId="0" applyBorder="1" applyAlignment="1">
      <alignment vertical="center" wrapText="1"/>
    </xf>
    <xf numFmtId="0" fontId="0" fillId="0" borderId="9" xfId="0" applyBorder="1" applyAlignment="1">
      <alignment horizontal="center" vertical="center" wrapText="1"/>
    </xf>
    <xf numFmtId="166" fontId="5" fillId="0" borderId="9" xfId="0" applyNumberFormat="1" applyFont="1" applyBorder="1" applyAlignment="1">
      <alignment horizontal="center" vertical="center" wrapText="1"/>
    </xf>
    <xf numFmtId="0" fontId="15" fillId="0" borderId="3" xfId="0" applyFont="1" applyBorder="1" applyAlignment="1">
      <alignment horizontal="left" vertical="top" wrapText="1"/>
    </xf>
    <xf numFmtId="4" fontId="5" fillId="0" borderId="0" xfId="0" applyNumberFormat="1" applyFont="1" applyAlignment="1">
      <alignment horizontal="center" vertical="center"/>
    </xf>
    <xf numFmtId="166" fontId="0" fillId="0" borderId="0" xfId="0" applyNumberFormat="1" applyAlignment="1">
      <alignment vertical="center"/>
    </xf>
    <xf numFmtId="0" fontId="0" fillId="0" borderId="1" xfId="0" applyBorder="1" applyAlignment="1">
      <alignment horizontal="left" vertical="center" wrapText="1"/>
    </xf>
    <xf numFmtId="166" fontId="0" fillId="0" borderId="1" xfId="0" applyNumberFormat="1" applyBorder="1" applyAlignment="1">
      <alignment horizontal="center" vertical="center" wrapText="1"/>
    </xf>
    <xf numFmtId="166" fontId="0" fillId="0" borderId="0" xfId="0" applyNumberFormat="1" applyAlignment="1">
      <alignment vertical="center" wrapText="1"/>
    </xf>
    <xf numFmtId="0" fontId="0" fillId="0" borderId="0" xfId="0" applyAlignment="1">
      <alignment vertical="center" wrapText="1"/>
    </xf>
    <xf numFmtId="166" fontId="0" fillId="0" borderId="9" xfId="0" applyNumberFormat="1" applyBorder="1" applyAlignment="1">
      <alignment horizontal="center" vertical="center" wrapText="1"/>
    </xf>
    <xf numFmtId="164" fontId="5" fillId="0" borderId="9" xfId="0" applyNumberFormat="1" applyFont="1" applyBorder="1" applyAlignment="1">
      <alignment horizontal="center" vertical="center" wrapText="1"/>
    </xf>
    <xf numFmtId="166" fontId="26" fillId="0" borderId="0" xfId="0" applyNumberFormat="1" applyFont="1" applyAlignment="1">
      <alignment vertical="center" wrapText="1"/>
    </xf>
    <xf numFmtId="0" fontId="0" fillId="2" borderId="0" xfId="0" applyFill="1" applyAlignment="1">
      <alignment vertical="center"/>
    </xf>
    <xf numFmtId="0" fontId="27" fillId="0" borderId="0" xfId="0" applyFont="1" applyAlignment="1">
      <alignment vertical="center"/>
    </xf>
    <xf numFmtId="166" fontId="27" fillId="0" borderId="0" xfId="0" applyNumberFormat="1" applyFont="1" applyAlignment="1">
      <alignment vertical="center"/>
    </xf>
    <xf numFmtId="0" fontId="28" fillId="0" borderId="0" xfId="0" applyFont="1" applyAlignment="1">
      <alignment vertical="center"/>
    </xf>
    <xf numFmtId="0" fontId="29" fillId="0" borderId="0" xfId="0" applyFont="1" applyAlignment="1">
      <alignment vertical="center"/>
    </xf>
    <xf numFmtId="167" fontId="3" fillId="0" borderId="0" xfId="1" applyNumberFormat="1" applyFont="1" applyAlignment="1">
      <alignment vertical="center"/>
    </xf>
    <xf numFmtId="167" fontId="29" fillId="0" borderId="0" xfId="0" applyNumberFormat="1" applyFont="1" applyAlignment="1">
      <alignment vertical="center"/>
    </xf>
    <xf numFmtId="0" fontId="22" fillId="0" borderId="3" xfId="0" applyFont="1" applyBorder="1" applyAlignment="1">
      <alignment horizontal="left" vertical="top" wrapText="1"/>
    </xf>
    <xf numFmtId="0" fontId="13" fillId="0" borderId="6" xfId="0" applyFont="1" applyBorder="1" applyAlignment="1">
      <alignment horizontal="left" vertical="top" wrapText="1"/>
    </xf>
    <xf numFmtId="167" fontId="3" fillId="0" borderId="12" xfId="1" applyNumberFormat="1" applyFont="1" applyFill="1" applyBorder="1" applyAlignment="1">
      <alignment vertical="center"/>
    </xf>
    <xf numFmtId="0" fontId="26" fillId="0" borderId="0" xfId="0" applyFont="1" applyAlignment="1">
      <alignment vertical="center"/>
    </xf>
    <xf numFmtId="166" fontId="1" fillId="0" borderId="15" xfId="0" applyNumberFormat="1" applyFont="1" applyBorder="1" applyAlignment="1">
      <alignment horizontal="center" vertical="center" wrapText="1"/>
    </xf>
    <xf numFmtId="167" fontId="3" fillId="2" borderId="0" xfId="1" applyNumberFormat="1" applyFont="1" applyFill="1" applyAlignment="1">
      <alignment vertical="center"/>
    </xf>
    <xf numFmtId="43" fontId="30" fillId="0" borderId="0" xfId="1" applyFont="1" applyAlignment="1">
      <alignment horizontal="left" vertical="top"/>
    </xf>
    <xf numFmtId="43" fontId="31" fillId="0" borderId="0" xfId="1" applyFont="1" applyAlignment="1">
      <alignment horizontal="left" vertical="top"/>
    </xf>
    <xf numFmtId="0" fontId="0" fillId="2" borderId="1" xfId="0" applyFill="1" applyBorder="1" applyAlignment="1">
      <alignment vertical="center" wrapText="1"/>
    </xf>
    <xf numFmtId="166" fontId="26" fillId="0" borderId="0" xfId="0" applyNumberFormat="1" applyFont="1" applyAlignment="1">
      <alignment vertical="center"/>
    </xf>
    <xf numFmtId="164" fontId="28" fillId="0" borderId="0" xfId="0" applyNumberFormat="1" applyFont="1" applyAlignment="1">
      <alignment vertical="center"/>
    </xf>
    <xf numFmtId="166" fontId="16" fillId="3" borderId="1" xfId="0" applyNumberFormat="1" applyFont="1" applyFill="1" applyBorder="1" applyAlignment="1">
      <alignment horizontal="center" vertical="top" wrapText="1"/>
    </xf>
    <xf numFmtId="166" fontId="24" fillId="3" borderId="1" xfId="0" applyNumberFormat="1" applyFont="1" applyFill="1" applyBorder="1" applyAlignment="1">
      <alignment horizontal="center" vertical="top" wrapText="1"/>
    </xf>
    <xf numFmtId="166" fontId="18" fillId="3" borderId="1" xfId="0" applyNumberFormat="1" applyFont="1" applyFill="1" applyBorder="1" applyAlignment="1">
      <alignment horizontal="center" vertical="top" wrapText="1"/>
    </xf>
    <xf numFmtId="166" fontId="25" fillId="3" borderId="1" xfId="0" applyNumberFormat="1" applyFont="1" applyFill="1" applyBorder="1" applyAlignment="1">
      <alignment horizontal="center" vertical="center" wrapText="1"/>
    </xf>
    <xf numFmtId="166" fontId="18" fillId="3" borderId="1" xfId="0" applyNumberFormat="1" applyFont="1" applyFill="1" applyBorder="1" applyAlignment="1">
      <alignment horizontal="center" vertical="center" wrapText="1"/>
    </xf>
    <xf numFmtId="0" fontId="0" fillId="3" borderId="0" xfId="0" applyFill="1" applyAlignment="1">
      <alignment horizontal="left" vertical="top"/>
    </xf>
    <xf numFmtId="166" fontId="4" fillId="0" borderId="16" xfId="0" applyNumberFormat="1" applyFont="1" applyBorder="1" applyAlignment="1">
      <alignment horizontal="center" vertical="center" wrapText="1"/>
    </xf>
    <xf numFmtId="166" fontId="5" fillId="0" borderId="16" xfId="0" applyNumberFormat="1" applyFont="1" applyBorder="1" applyAlignment="1">
      <alignment horizontal="center" vertical="center" wrapText="1"/>
    </xf>
    <xf numFmtId="0" fontId="0" fillId="0" borderId="1" xfId="0" applyBorder="1" applyAlignment="1">
      <alignment vertical="center"/>
    </xf>
    <xf numFmtId="166" fontId="0" fillId="0" borderId="1" xfId="0" applyNumberFormat="1" applyBorder="1" applyAlignment="1">
      <alignment vertical="center"/>
    </xf>
    <xf numFmtId="0" fontId="3" fillId="0" borderId="1" xfId="0" applyFont="1" applyBorder="1" applyAlignment="1">
      <alignment horizontal="center" vertical="center"/>
    </xf>
    <xf numFmtId="167" fontId="3" fillId="0" borderId="1" xfId="1" applyNumberFormat="1" applyFont="1" applyBorder="1" applyAlignment="1">
      <alignment vertical="center"/>
    </xf>
    <xf numFmtId="0" fontId="0" fillId="4" borderId="0" xfId="0" applyFill="1" applyAlignment="1">
      <alignment vertical="center"/>
    </xf>
    <xf numFmtId="164" fontId="0" fillId="0" borderId="0" xfId="0" applyNumberFormat="1" applyAlignment="1">
      <alignment vertical="center"/>
    </xf>
    <xf numFmtId="166" fontId="0" fillId="5" borderId="1" xfId="0" applyNumberFormat="1" applyFill="1" applyBorder="1" applyAlignment="1">
      <alignment horizontal="center" vertical="center" wrapText="1"/>
    </xf>
    <xf numFmtId="166" fontId="0" fillId="5" borderId="0" xfId="0" applyNumberFormat="1" applyFill="1" applyAlignment="1">
      <alignment vertical="center"/>
    </xf>
    <xf numFmtId="0" fontId="0" fillId="5" borderId="0" xfId="0" applyFill="1" applyAlignment="1">
      <alignment vertical="center"/>
    </xf>
    <xf numFmtId="0" fontId="0" fillId="3" borderId="1" xfId="0" applyFill="1" applyBorder="1" applyAlignment="1">
      <alignment vertical="center" wrapText="1"/>
    </xf>
    <xf numFmtId="0" fontId="0" fillId="3" borderId="1" xfId="0" applyFill="1" applyBorder="1" applyAlignment="1">
      <alignment horizontal="center" vertical="center" wrapText="1"/>
    </xf>
    <xf numFmtId="166" fontId="0" fillId="3" borderId="1" xfId="0" applyNumberFormat="1" applyFill="1" applyBorder="1" applyAlignment="1">
      <alignment horizontal="center" vertical="center" wrapText="1"/>
    </xf>
    <xf numFmtId="166" fontId="3" fillId="0" borderId="13" xfId="0" applyNumberFormat="1" applyFont="1" applyBorder="1" applyAlignment="1">
      <alignment horizontal="center" vertical="center"/>
    </xf>
    <xf numFmtId="166" fontId="3" fillId="0" borderId="12" xfId="0" applyNumberFormat="1"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4" xfId="0" applyFont="1" applyBorder="1" applyAlignment="1">
      <alignment horizontal="center" vertical="center"/>
    </xf>
    <xf numFmtId="166" fontId="3" fillId="0" borderId="11" xfId="0" applyNumberFormat="1" applyFont="1" applyBorder="1" applyAlignment="1">
      <alignment horizontal="center" vertical="center"/>
    </xf>
    <xf numFmtId="166" fontId="0" fillId="0" borderId="0" xfId="0" applyNumberFormat="1" applyAlignment="1">
      <alignment horizontal="center" vertical="center"/>
    </xf>
    <xf numFmtId="166" fontId="3" fillId="0" borderId="11" xfId="1" applyNumberFormat="1" applyFont="1" applyFill="1" applyBorder="1" applyAlignment="1">
      <alignment horizontal="center" vertical="center"/>
    </xf>
    <xf numFmtId="166" fontId="3" fillId="0" borderId="12" xfId="1" applyNumberFormat="1" applyFont="1" applyFill="1" applyBorder="1" applyAlignment="1">
      <alignment horizontal="center" vertical="center"/>
    </xf>
    <xf numFmtId="166" fontId="3" fillId="0" borderId="10" xfId="0" applyNumberFormat="1" applyFont="1" applyBorder="1" applyAlignment="1">
      <alignment horizontal="center" vertical="center"/>
    </xf>
    <xf numFmtId="0" fontId="3" fillId="0" borderId="12" xfId="0" applyFont="1" applyBorder="1" applyAlignment="1">
      <alignment horizontal="center" vertic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8" fillId="0" borderId="8" xfId="0" applyFont="1" applyBorder="1" applyAlignment="1">
      <alignment horizontal="center" vertical="top" wrapText="1"/>
    </xf>
    <xf numFmtId="0" fontId="18" fillId="0" borderId="7" xfId="0" applyFont="1" applyBorder="1" applyAlignment="1">
      <alignment horizontal="center" vertical="top" wrapText="1"/>
    </xf>
    <xf numFmtId="0" fontId="15" fillId="0" borderId="4" xfId="0" applyFont="1" applyBorder="1" applyAlignment="1">
      <alignment horizontal="center" vertical="top" wrapText="1"/>
    </xf>
    <xf numFmtId="0" fontId="15" fillId="0" borderId="5" xfId="0" applyFont="1" applyBorder="1" applyAlignment="1">
      <alignment horizontal="center" vertical="top" wrapText="1"/>
    </xf>
    <xf numFmtId="0" fontId="18" fillId="0" borderId="4" xfId="0" applyFont="1" applyBorder="1" applyAlignment="1">
      <alignment horizontal="center" vertical="top" wrapText="1"/>
    </xf>
    <xf numFmtId="0" fontId="18" fillId="0" borderId="5" xfId="0" applyFont="1" applyBorder="1" applyAlignment="1">
      <alignment horizontal="center" vertical="top" wrapText="1"/>
    </xf>
    <xf numFmtId="0" fontId="10" fillId="0" borderId="2" xfId="0" applyFont="1" applyBorder="1" applyAlignment="1">
      <alignment horizontal="center" vertical="top" wrapText="1"/>
    </xf>
    <xf numFmtId="0" fontId="10" fillId="0" borderId="0" xfId="0" applyFont="1" applyAlignment="1">
      <alignment horizontal="center" vertical="top" wrapText="1"/>
    </xf>
    <xf numFmtId="0" fontId="11" fillId="0" borderId="0" xfId="0" applyFont="1" applyAlignment="1">
      <alignment horizontal="center"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My%20Drive\03%20-%20EWF%20PROJECTS\01.%20TENDERS\11.%20Housing%20Units%20-%20Halaniyat\BOQ\BOQ%2004.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 NO-1 PRELIMINARIES"/>
      <sheetName val="BILL NO-2 DAY WORKS"/>
      <sheetName val="BILL NO-3 PROVISIONAL SUM"/>
      <sheetName val="BILL NO-4 NEW HOUSING UNITS"/>
      <sheetName val="BILL NO-5 EXTERNAL WORKS &amp; SERV"/>
      <sheetName val="BILL NO-6 MAINT. EXISTING HOUSE"/>
      <sheetName val="BILL NO-7 STORM WATER"/>
      <sheetName val="Table 1"/>
    </sheetNames>
    <sheetDataSet>
      <sheetData sheetId="0"/>
      <sheetData sheetId="1"/>
      <sheetData sheetId="2">
        <row r="9">
          <cell r="H9">
            <v>200000</v>
          </cell>
        </row>
      </sheetData>
      <sheetData sheetId="3"/>
      <sheetData sheetId="4"/>
      <sheetData sheetId="5"/>
      <sheetData sheetId="6"/>
      <sheetData sheetId="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I117"/>
  <sheetViews>
    <sheetView topLeftCell="A38" zoomScaleNormal="100" workbookViewId="0">
      <selection activeCell="D20" sqref="D20"/>
    </sheetView>
  </sheetViews>
  <sheetFormatPr defaultColWidth="9.28515625" defaultRowHeight="12"/>
  <cols>
    <col min="1" max="1" width="5" style="14" customWidth="1"/>
    <col min="2" max="2" width="24.28515625" style="14" customWidth="1"/>
    <col min="3" max="3" width="13.7109375" style="14" customWidth="1"/>
    <col min="4" max="4" width="61.28515625" style="14" customWidth="1"/>
    <col min="5" max="5" width="7.42578125" style="17" customWidth="1"/>
    <col min="6" max="6" width="8.42578125" style="17" customWidth="1"/>
    <col min="7" max="7" width="10.7109375" style="27" customWidth="1"/>
    <col min="8" max="8" width="14.28515625" style="27" customWidth="1"/>
    <col min="9" max="9" width="17.7109375" style="55" customWidth="1"/>
    <col min="10" max="16384" width="9.28515625" style="14"/>
  </cols>
  <sheetData>
    <row r="1" spans="1:8" ht="36">
      <c r="A1" s="28" t="s">
        <v>0</v>
      </c>
      <c r="B1" s="28" t="s">
        <v>1</v>
      </c>
      <c r="C1" s="28" t="s">
        <v>2</v>
      </c>
      <c r="D1" s="28" t="s">
        <v>3</v>
      </c>
      <c r="E1" s="29" t="s">
        <v>4</v>
      </c>
      <c r="F1" s="29" t="s">
        <v>5</v>
      </c>
      <c r="G1" s="30" t="s">
        <v>1548</v>
      </c>
      <c r="H1" s="30" t="s">
        <v>7</v>
      </c>
    </row>
    <row r="2" spans="1:8" ht="36.75" customHeight="1">
      <c r="A2" s="15" t="s">
        <v>9</v>
      </c>
      <c r="B2" s="15" t="s">
        <v>10</v>
      </c>
      <c r="C2" s="15" t="s">
        <v>11</v>
      </c>
      <c r="D2" s="15" t="s">
        <v>12</v>
      </c>
      <c r="E2" s="16" t="s">
        <v>13</v>
      </c>
      <c r="F2" s="16" t="s">
        <v>14</v>
      </c>
      <c r="G2" s="26">
        <v>0</v>
      </c>
      <c r="H2" s="26">
        <f t="shared" ref="H2:H33" si="0">F2*G2</f>
        <v>0</v>
      </c>
    </row>
    <row r="3" spans="1:8" ht="36">
      <c r="A3" s="15" t="s">
        <v>15</v>
      </c>
      <c r="B3" s="15" t="s">
        <v>10</v>
      </c>
      <c r="C3" s="15" t="s">
        <v>16</v>
      </c>
      <c r="D3" s="15" t="s">
        <v>17</v>
      </c>
      <c r="E3" s="16" t="s">
        <v>13</v>
      </c>
      <c r="F3" s="16" t="s">
        <v>8</v>
      </c>
      <c r="G3" s="26">
        <v>0</v>
      </c>
      <c r="H3" s="26">
        <f t="shared" si="0"/>
        <v>0</v>
      </c>
    </row>
    <row r="4" spans="1:8" ht="36">
      <c r="A4" s="15" t="s">
        <v>19</v>
      </c>
      <c r="B4" s="15" t="s">
        <v>20</v>
      </c>
      <c r="C4" s="15" t="s">
        <v>21</v>
      </c>
      <c r="D4" s="15" t="s">
        <v>22</v>
      </c>
      <c r="E4" s="16" t="s">
        <v>13</v>
      </c>
      <c r="F4" s="16" t="s">
        <v>8</v>
      </c>
      <c r="G4" s="26">
        <v>0</v>
      </c>
      <c r="H4" s="26">
        <f t="shared" si="0"/>
        <v>0</v>
      </c>
    </row>
    <row r="5" spans="1:8" ht="36">
      <c r="A5" s="15" t="s">
        <v>23</v>
      </c>
      <c r="B5" s="15" t="s">
        <v>20</v>
      </c>
      <c r="C5" s="15" t="s">
        <v>21</v>
      </c>
      <c r="D5" s="15" t="s">
        <v>24</v>
      </c>
      <c r="E5" s="16" t="s">
        <v>13</v>
      </c>
      <c r="F5" s="16" t="s">
        <v>8</v>
      </c>
      <c r="G5" s="26">
        <v>0</v>
      </c>
      <c r="H5" s="26">
        <f t="shared" si="0"/>
        <v>0</v>
      </c>
    </row>
    <row r="6" spans="1:8" ht="96">
      <c r="A6" s="15" t="s">
        <v>25</v>
      </c>
      <c r="B6" s="15" t="s">
        <v>26</v>
      </c>
      <c r="C6" s="15" t="s">
        <v>27</v>
      </c>
      <c r="D6" s="15" t="s">
        <v>28</v>
      </c>
      <c r="E6" s="16" t="s">
        <v>13</v>
      </c>
      <c r="F6" s="16" t="s">
        <v>8</v>
      </c>
      <c r="G6" s="26">
        <v>0</v>
      </c>
      <c r="H6" s="26">
        <f t="shared" si="0"/>
        <v>0</v>
      </c>
    </row>
    <row r="7" spans="1:8" ht="48">
      <c r="A7" s="15" t="s">
        <v>30</v>
      </c>
      <c r="B7" s="15" t="s">
        <v>26</v>
      </c>
      <c r="C7" s="15" t="s">
        <v>27</v>
      </c>
      <c r="D7" s="15" t="s">
        <v>31</v>
      </c>
      <c r="E7" s="16" t="s">
        <v>13</v>
      </c>
      <c r="F7" s="16" t="s">
        <v>8</v>
      </c>
      <c r="G7" s="26">
        <v>0</v>
      </c>
      <c r="H7" s="26">
        <f t="shared" si="0"/>
        <v>0</v>
      </c>
    </row>
    <row r="8" spans="1:8" ht="36">
      <c r="A8" s="15" t="s">
        <v>32</v>
      </c>
      <c r="B8" s="15" t="s">
        <v>26</v>
      </c>
      <c r="C8" s="15" t="s">
        <v>27</v>
      </c>
      <c r="D8" s="15" t="s">
        <v>33</v>
      </c>
      <c r="E8" s="16" t="s">
        <v>13</v>
      </c>
      <c r="F8" s="16" t="s">
        <v>8</v>
      </c>
      <c r="G8" s="26">
        <v>0</v>
      </c>
      <c r="H8" s="26">
        <f t="shared" si="0"/>
        <v>0</v>
      </c>
    </row>
    <row r="9" spans="1:8" ht="36">
      <c r="A9" s="15" t="s">
        <v>34</v>
      </c>
      <c r="B9" s="15" t="s">
        <v>26</v>
      </c>
      <c r="C9" s="15" t="s">
        <v>27</v>
      </c>
      <c r="D9" s="15" t="s">
        <v>35</v>
      </c>
      <c r="E9" s="16" t="s">
        <v>13</v>
      </c>
      <c r="F9" s="16" t="s">
        <v>8</v>
      </c>
      <c r="G9" s="26">
        <v>10500</v>
      </c>
      <c r="H9" s="26">
        <f t="shared" si="0"/>
        <v>10500</v>
      </c>
    </row>
    <row r="10" spans="1:8" ht="48">
      <c r="A10" s="15" t="s">
        <v>36</v>
      </c>
      <c r="B10" s="15" t="s">
        <v>26</v>
      </c>
      <c r="C10" s="15" t="s">
        <v>27</v>
      </c>
      <c r="D10" s="15" t="s">
        <v>37</v>
      </c>
      <c r="E10" s="16" t="s">
        <v>13</v>
      </c>
      <c r="F10" s="16" t="s">
        <v>8</v>
      </c>
      <c r="G10" s="26">
        <v>10500</v>
      </c>
      <c r="H10" s="26">
        <f t="shared" si="0"/>
        <v>10500</v>
      </c>
    </row>
    <row r="11" spans="1:8" ht="48">
      <c r="A11" s="15" t="s">
        <v>39</v>
      </c>
      <c r="B11" s="15" t="s">
        <v>26</v>
      </c>
      <c r="C11" s="15" t="s">
        <v>27</v>
      </c>
      <c r="D11" s="15" t="s">
        <v>40</v>
      </c>
      <c r="E11" s="16" t="s">
        <v>13</v>
      </c>
      <c r="F11" s="16" t="s">
        <v>8</v>
      </c>
      <c r="G11" s="26">
        <v>0</v>
      </c>
      <c r="H11" s="26">
        <f t="shared" si="0"/>
        <v>0</v>
      </c>
    </row>
    <row r="12" spans="1:8" ht="36">
      <c r="A12" s="15" t="s">
        <v>41</v>
      </c>
      <c r="B12" s="15" t="s">
        <v>26</v>
      </c>
      <c r="C12" s="15" t="s">
        <v>27</v>
      </c>
      <c r="D12" s="15" t="s">
        <v>42</v>
      </c>
      <c r="E12" s="16" t="s">
        <v>13</v>
      </c>
      <c r="F12" s="16" t="s">
        <v>8</v>
      </c>
      <c r="G12" s="26">
        <v>0</v>
      </c>
      <c r="H12" s="26">
        <f t="shared" si="0"/>
        <v>0</v>
      </c>
    </row>
    <row r="13" spans="1:8" ht="60">
      <c r="A13" s="15" t="s">
        <v>43</v>
      </c>
      <c r="B13" s="15" t="s">
        <v>26</v>
      </c>
      <c r="C13" s="15" t="s">
        <v>27</v>
      </c>
      <c r="D13" s="15" t="s">
        <v>44</v>
      </c>
      <c r="E13" s="16" t="s">
        <v>13</v>
      </c>
      <c r="F13" s="16" t="s">
        <v>8</v>
      </c>
      <c r="G13" s="26">
        <v>0</v>
      </c>
      <c r="H13" s="26">
        <f t="shared" si="0"/>
        <v>0</v>
      </c>
    </row>
    <row r="14" spans="1:8" ht="48">
      <c r="A14" s="15" t="s">
        <v>45</v>
      </c>
      <c r="B14" s="15" t="s">
        <v>26</v>
      </c>
      <c r="C14" s="15" t="s">
        <v>27</v>
      </c>
      <c r="D14" s="15" t="s">
        <v>46</v>
      </c>
      <c r="E14" s="16" t="s">
        <v>13</v>
      </c>
      <c r="F14" s="16" t="s">
        <v>8</v>
      </c>
      <c r="G14" s="26">
        <v>0</v>
      </c>
      <c r="H14" s="26">
        <f t="shared" si="0"/>
        <v>0</v>
      </c>
    </row>
    <row r="15" spans="1:8" ht="84">
      <c r="A15" s="15" t="s">
        <v>47</v>
      </c>
      <c r="B15" s="15" t="s">
        <v>48</v>
      </c>
      <c r="C15" s="15" t="s">
        <v>49</v>
      </c>
      <c r="D15" s="15" t="s">
        <v>50</v>
      </c>
      <c r="E15" s="16" t="s">
        <v>13</v>
      </c>
      <c r="F15" s="16" t="s">
        <v>8</v>
      </c>
      <c r="G15" s="26">
        <v>0</v>
      </c>
      <c r="H15" s="26">
        <f t="shared" si="0"/>
        <v>0</v>
      </c>
    </row>
    <row r="16" spans="1:8" ht="72">
      <c r="A16" s="15" t="s">
        <v>51</v>
      </c>
      <c r="B16" s="15" t="s">
        <v>48</v>
      </c>
      <c r="C16" s="15" t="s">
        <v>52</v>
      </c>
      <c r="D16" s="15" t="s">
        <v>53</v>
      </c>
      <c r="E16" s="16" t="s">
        <v>13</v>
      </c>
      <c r="F16" s="16" t="s">
        <v>8</v>
      </c>
      <c r="G16" s="26">
        <v>0</v>
      </c>
      <c r="H16" s="26">
        <f t="shared" si="0"/>
        <v>0</v>
      </c>
    </row>
    <row r="17" spans="1:8" ht="36">
      <c r="A17" s="15" t="s">
        <v>55</v>
      </c>
      <c r="B17" s="15" t="s">
        <v>48</v>
      </c>
      <c r="C17" s="15" t="s">
        <v>52</v>
      </c>
      <c r="D17" s="15" t="s">
        <v>56</v>
      </c>
      <c r="E17" s="16" t="s">
        <v>13</v>
      </c>
      <c r="F17" s="16" t="s">
        <v>8</v>
      </c>
      <c r="G17" s="26">
        <v>0</v>
      </c>
      <c r="H17" s="26">
        <f t="shared" si="0"/>
        <v>0</v>
      </c>
    </row>
    <row r="18" spans="1:8" ht="36">
      <c r="A18" s="15" t="s">
        <v>57</v>
      </c>
      <c r="B18" s="15" t="s">
        <v>26</v>
      </c>
      <c r="C18" s="15" t="s">
        <v>58</v>
      </c>
      <c r="D18" s="15" t="s">
        <v>59</v>
      </c>
      <c r="E18" s="16" t="s">
        <v>13</v>
      </c>
      <c r="F18" s="16" t="s">
        <v>8</v>
      </c>
      <c r="G18" s="26">
        <v>0</v>
      </c>
      <c r="H18" s="26">
        <f t="shared" si="0"/>
        <v>0</v>
      </c>
    </row>
    <row r="19" spans="1:8" ht="48">
      <c r="A19" s="15" t="s">
        <v>60</v>
      </c>
      <c r="B19" s="15" t="s">
        <v>26</v>
      </c>
      <c r="C19" s="15" t="s">
        <v>61</v>
      </c>
      <c r="D19" s="15" t="s">
        <v>62</v>
      </c>
      <c r="E19" s="16" t="s">
        <v>13</v>
      </c>
      <c r="F19" s="16" t="s">
        <v>8</v>
      </c>
      <c r="G19" s="26">
        <v>0</v>
      </c>
      <c r="H19" s="26">
        <f t="shared" si="0"/>
        <v>0</v>
      </c>
    </row>
    <row r="20" spans="1:8" ht="60">
      <c r="A20" s="15" t="s">
        <v>64</v>
      </c>
      <c r="B20" s="15" t="s">
        <v>26</v>
      </c>
      <c r="C20" s="15" t="s">
        <v>65</v>
      </c>
      <c r="D20" s="15" t="s">
        <v>66</v>
      </c>
      <c r="E20" s="16" t="s">
        <v>13</v>
      </c>
      <c r="F20" s="16" t="s">
        <v>8</v>
      </c>
      <c r="G20" s="26">
        <v>0</v>
      </c>
      <c r="H20" s="26">
        <f t="shared" si="0"/>
        <v>0</v>
      </c>
    </row>
    <row r="21" spans="1:8" ht="48">
      <c r="A21" s="15" t="s">
        <v>68</v>
      </c>
      <c r="B21" s="15" t="s">
        <v>26</v>
      </c>
      <c r="C21" s="15" t="s">
        <v>69</v>
      </c>
      <c r="D21" s="15" t="s">
        <v>70</v>
      </c>
      <c r="E21" s="16" t="s">
        <v>13</v>
      </c>
      <c r="F21" s="16" t="s">
        <v>8</v>
      </c>
      <c r="G21" s="26">
        <v>0</v>
      </c>
      <c r="H21" s="26">
        <f t="shared" si="0"/>
        <v>0</v>
      </c>
    </row>
    <row r="22" spans="1:8" ht="72">
      <c r="A22" s="15" t="s">
        <v>71</v>
      </c>
      <c r="B22" s="15" t="s">
        <v>26</v>
      </c>
      <c r="C22" s="15" t="s">
        <v>69</v>
      </c>
      <c r="D22" s="15" t="s">
        <v>72</v>
      </c>
      <c r="E22" s="16" t="s">
        <v>13</v>
      </c>
      <c r="F22" s="16" t="s">
        <v>8</v>
      </c>
      <c r="G22" s="26">
        <v>0</v>
      </c>
      <c r="H22" s="26">
        <f t="shared" si="0"/>
        <v>0</v>
      </c>
    </row>
    <row r="23" spans="1:8" ht="36">
      <c r="A23" s="15" t="s">
        <v>73</v>
      </c>
      <c r="B23" s="15" t="s">
        <v>26</v>
      </c>
      <c r="C23" s="15" t="s">
        <v>74</v>
      </c>
      <c r="D23" s="15" t="s">
        <v>75</v>
      </c>
      <c r="E23" s="16" t="s">
        <v>13</v>
      </c>
      <c r="F23" s="16" t="s">
        <v>8</v>
      </c>
      <c r="G23" s="26">
        <v>0</v>
      </c>
      <c r="H23" s="26">
        <f t="shared" si="0"/>
        <v>0</v>
      </c>
    </row>
    <row r="24" spans="1:8" ht="36">
      <c r="A24" s="15" t="s">
        <v>76</v>
      </c>
      <c r="B24" s="15" t="s">
        <v>26</v>
      </c>
      <c r="C24" s="15" t="s">
        <v>77</v>
      </c>
      <c r="D24" s="15" t="s">
        <v>78</v>
      </c>
      <c r="E24" s="16" t="s">
        <v>13</v>
      </c>
      <c r="F24" s="16" t="s">
        <v>8</v>
      </c>
      <c r="G24" s="26">
        <v>0</v>
      </c>
      <c r="H24" s="26">
        <f t="shared" si="0"/>
        <v>0</v>
      </c>
    </row>
    <row r="25" spans="1:8" ht="60">
      <c r="A25" s="15" t="s">
        <v>79</v>
      </c>
      <c r="B25" s="15" t="s">
        <v>26</v>
      </c>
      <c r="C25" s="15" t="s">
        <v>77</v>
      </c>
      <c r="D25" s="15" t="s">
        <v>80</v>
      </c>
      <c r="E25" s="16" t="s">
        <v>13</v>
      </c>
      <c r="F25" s="16" t="s">
        <v>8</v>
      </c>
      <c r="G25" s="26">
        <v>0</v>
      </c>
      <c r="H25" s="26">
        <f t="shared" si="0"/>
        <v>0</v>
      </c>
    </row>
    <row r="26" spans="1:8" ht="60">
      <c r="A26" s="15" t="s">
        <v>82</v>
      </c>
      <c r="B26" s="15" t="s">
        <v>26</v>
      </c>
      <c r="C26" s="15" t="s">
        <v>83</v>
      </c>
      <c r="D26" s="15" t="s">
        <v>84</v>
      </c>
      <c r="E26" s="16" t="s">
        <v>13</v>
      </c>
      <c r="F26" s="16" t="s">
        <v>8</v>
      </c>
      <c r="G26" s="26">
        <v>0</v>
      </c>
      <c r="H26" s="26">
        <f t="shared" si="0"/>
        <v>0</v>
      </c>
    </row>
    <row r="27" spans="1:8" ht="48">
      <c r="A27" s="15" t="s">
        <v>85</v>
      </c>
      <c r="B27" s="15" t="s">
        <v>26</v>
      </c>
      <c r="C27" s="15" t="s">
        <v>83</v>
      </c>
      <c r="D27" s="15" t="s">
        <v>86</v>
      </c>
      <c r="E27" s="16" t="s">
        <v>13</v>
      </c>
      <c r="F27" s="16" t="s">
        <v>8</v>
      </c>
      <c r="G27" s="26">
        <v>0</v>
      </c>
      <c r="H27" s="26">
        <f t="shared" si="0"/>
        <v>0</v>
      </c>
    </row>
    <row r="28" spans="1:8" ht="36">
      <c r="A28" s="15" t="s">
        <v>87</v>
      </c>
      <c r="B28" s="15" t="s">
        <v>26</v>
      </c>
      <c r="C28" s="15" t="s">
        <v>88</v>
      </c>
      <c r="D28" s="15" t="s">
        <v>89</v>
      </c>
      <c r="E28" s="16" t="s">
        <v>13</v>
      </c>
      <c r="F28" s="16" t="s">
        <v>8</v>
      </c>
      <c r="G28" s="26">
        <v>0</v>
      </c>
      <c r="H28" s="26">
        <f t="shared" si="0"/>
        <v>0</v>
      </c>
    </row>
    <row r="29" spans="1:8" ht="36">
      <c r="A29" s="15" t="s">
        <v>90</v>
      </c>
      <c r="B29" s="15" t="s">
        <v>26</v>
      </c>
      <c r="C29" s="15" t="s">
        <v>88</v>
      </c>
      <c r="D29" s="15" t="s">
        <v>91</v>
      </c>
      <c r="E29" s="16" t="s">
        <v>13</v>
      </c>
      <c r="F29" s="16" t="s">
        <v>8</v>
      </c>
      <c r="G29" s="26">
        <v>0</v>
      </c>
      <c r="H29" s="26">
        <f t="shared" si="0"/>
        <v>0</v>
      </c>
    </row>
    <row r="30" spans="1:8" ht="36">
      <c r="A30" s="15" t="s">
        <v>92</v>
      </c>
      <c r="B30" s="15" t="s">
        <v>26</v>
      </c>
      <c r="C30" s="15" t="s">
        <v>88</v>
      </c>
      <c r="D30" s="15" t="s">
        <v>93</v>
      </c>
      <c r="E30" s="16" t="s">
        <v>13</v>
      </c>
      <c r="F30" s="16" t="s">
        <v>8</v>
      </c>
      <c r="G30" s="26">
        <v>0</v>
      </c>
      <c r="H30" s="26">
        <f t="shared" si="0"/>
        <v>0</v>
      </c>
    </row>
    <row r="31" spans="1:8" ht="36">
      <c r="A31" s="15" t="s">
        <v>95</v>
      </c>
      <c r="B31" s="15" t="s">
        <v>26</v>
      </c>
      <c r="C31" s="15" t="s">
        <v>96</v>
      </c>
      <c r="D31" s="15" t="s">
        <v>97</v>
      </c>
      <c r="E31" s="16" t="s">
        <v>13</v>
      </c>
      <c r="F31" s="16" t="s">
        <v>8</v>
      </c>
      <c r="G31" s="26">
        <v>0</v>
      </c>
      <c r="H31" s="26">
        <f t="shared" si="0"/>
        <v>0</v>
      </c>
    </row>
    <row r="32" spans="1:8" ht="60">
      <c r="A32" s="15" t="s">
        <v>98</v>
      </c>
      <c r="B32" s="15" t="s">
        <v>26</v>
      </c>
      <c r="C32" s="15" t="s">
        <v>96</v>
      </c>
      <c r="D32" s="15" t="s">
        <v>99</v>
      </c>
      <c r="E32" s="16" t="s">
        <v>13</v>
      </c>
      <c r="F32" s="16" t="s">
        <v>8</v>
      </c>
      <c r="G32" s="26">
        <v>0</v>
      </c>
      <c r="H32" s="26">
        <f t="shared" si="0"/>
        <v>0</v>
      </c>
    </row>
    <row r="33" spans="1:8" ht="60">
      <c r="A33" s="15" t="s">
        <v>100</v>
      </c>
      <c r="B33" s="15" t="s">
        <v>26</v>
      </c>
      <c r="C33" s="15" t="s">
        <v>101</v>
      </c>
      <c r="D33" s="15" t="s">
        <v>99</v>
      </c>
      <c r="E33" s="16" t="s">
        <v>13</v>
      </c>
      <c r="F33" s="16" t="s">
        <v>8</v>
      </c>
      <c r="G33" s="26">
        <v>1575</v>
      </c>
      <c r="H33" s="26">
        <f t="shared" si="0"/>
        <v>1575</v>
      </c>
    </row>
    <row r="34" spans="1:8" ht="84">
      <c r="A34" s="15" t="s">
        <v>102</v>
      </c>
      <c r="B34" s="15" t="s">
        <v>26</v>
      </c>
      <c r="C34" s="15" t="s">
        <v>101</v>
      </c>
      <c r="D34" s="15" t="s">
        <v>103</v>
      </c>
      <c r="E34" s="16" t="s">
        <v>13</v>
      </c>
      <c r="F34" s="16" t="s">
        <v>8</v>
      </c>
      <c r="G34" s="26">
        <v>1575</v>
      </c>
      <c r="H34" s="26">
        <f t="shared" ref="H34:H65" si="1">F34*G34</f>
        <v>1575</v>
      </c>
    </row>
    <row r="35" spans="1:8" ht="48">
      <c r="A35" s="15" t="s">
        <v>104</v>
      </c>
      <c r="B35" s="15" t="s">
        <v>26</v>
      </c>
      <c r="C35" s="15" t="s">
        <v>101</v>
      </c>
      <c r="D35" s="15" t="s">
        <v>105</v>
      </c>
      <c r="E35" s="16" t="s">
        <v>13</v>
      </c>
      <c r="F35" s="16" t="s">
        <v>8</v>
      </c>
      <c r="G35" s="26">
        <v>0</v>
      </c>
      <c r="H35" s="26">
        <f t="shared" si="1"/>
        <v>0</v>
      </c>
    </row>
    <row r="36" spans="1:8" ht="36">
      <c r="A36" s="15" t="s">
        <v>107</v>
      </c>
      <c r="B36" s="15" t="s">
        <v>26</v>
      </c>
      <c r="C36" s="15" t="s">
        <v>108</v>
      </c>
      <c r="D36" s="15" t="s">
        <v>109</v>
      </c>
      <c r="E36" s="16" t="s">
        <v>13</v>
      </c>
      <c r="F36" s="16" t="s">
        <v>8</v>
      </c>
      <c r="G36" s="26">
        <v>0</v>
      </c>
      <c r="H36" s="26">
        <f t="shared" si="1"/>
        <v>0</v>
      </c>
    </row>
    <row r="37" spans="1:8" ht="36">
      <c r="A37" s="15" t="s">
        <v>110</v>
      </c>
      <c r="B37" s="15" t="s">
        <v>26</v>
      </c>
      <c r="C37" s="15" t="s">
        <v>108</v>
      </c>
      <c r="D37" s="15" t="s">
        <v>111</v>
      </c>
      <c r="E37" s="16" t="s">
        <v>13</v>
      </c>
      <c r="F37" s="16" t="s">
        <v>8</v>
      </c>
      <c r="G37" s="26">
        <v>0</v>
      </c>
      <c r="H37" s="26">
        <f t="shared" si="1"/>
        <v>0</v>
      </c>
    </row>
    <row r="38" spans="1:8" ht="36">
      <c r="A38" s="15" t="s">
        <v>112</v>
      </c>
      <c r="B38" s="15" t="s">
        <v>26</v>
      </c>
      <c r="C38" s="15" t="s">
        <v>113</v>
      </c>
      <c r="D38" s="15" t="s">
        <v>114</v>
      </c>
      <c r="E38" s="16" t="s">
        <v>13</v>
      </c>
      <c r="F38" s="16" t="s">
        <v>8</v>
      </c>
      <c r="G38" s="26">
        <v>0</v>
      </c>
      <c r="H38" s="26">
        <f t="shared" si="1"/>
        <v>0</v>
      </c>
    </row>
    <row r="39" spans="1:8" ht="36">
      <c r="A39" s="15" t="s">
        <v>115</v>
      </c>
      <c r="B39" s="15" t="s">
        <v>26</v>
      </c>
      <c r="C39" s="15" t="s">
        <v>116</v>
      </c>
      <c r="D39" s="15" t="s">
        <v>117</v>
      </c>
      <c r="E39" s="16" t="s">
        <v>13</v>
      </c>
      <c r="F39" s="16" t="s">
        <v>8</v>
      </c>
      <c r="G39" s="26">
        <v>0</v>
      </c>
      <c r="H39" s="26">
        <f t="shared" si="1"/>
        <v>0</v>
      </c>
    </row>
    <row r="40" spans="1:8" ht="36">
      <c r="A40" s="15" t="s">
        <v>118</v>
      </c>
      <c r="B40" s="15" t="s">
        <v>26</v>
      </c>
      <c r="C40" s="15" t="s">
        <v>116</v>
      </c>
      <c r="D40" s="15" t="s">
        <v>119</v>
      </c>
      <c r="E40" s="16" t="s">
        <v>13</v>
      </c>
      <c r="F40" s="16" t="s">
        <v>8</v>
      </c>
      <c r="G40" s="26">
        <v>0</v>
      </c>
      <c r="H40" s="26">
        <f t="shared" si="1"/>
        <v>0</v>
      </c>
    </row>
    <row r="41" spans="1:8" ht="36">
      <c r="A41" s="15" t="s">
        <v>121</v>
      </c>
      <c r="B41" s="15" t="s">
        <v>26</v>
      </c>
      <c r="C41" s="15" t="s">
        <v>116</v>
      </c>
      <c r="D41" s="15" t="s">
        <v>122</v>
      </c>
      <c r="E41" s="16" t="s">
        <v>13</v>
      </c>
      <c r="F41" s="16" t="s">
        <v>8</v>
      </c>
      <c r="G41" s="26">
        <v>0</v>
      </c>
      <c r="H41" s="26">
        <f t="shared" si="1"/>
        <v>0</v>
      </c>
    </row>
    <row r="42" spans="1:8" ht="48">
      <c r="A42" s="15" t="s">
        <v>123</v>
      </c>
      <c r="B42" s="15" t="s">
        <v>26</v>
      </c>
      <c r="C42" s="15" t="s">
        <v>116</v>
      </c>
      <c r="D42" s="15" t="s">
        <v>124</v>
      </c>
      <c r="E42" s="16" t="s">
        <v>13</v>
      </c>
      <c r="F42" s="16" t="s">
        <v>8</v>
      </c>
      <c r="G42" s="26">
        <v>0</v>
      </c>
      <c r="H42" s="26">
        <f t="shared" si="1"/>
        <v>0</v>
      </c>
    </row>
    <row r="43" spans="1:8" ht="36">
      <c r="A43" s="15" t="s">
        <v>125</v>
      </c>
      <c r="B43" s="15" t="s">
        <v>26</v>
      </c>
      <c r="C43" s="15" t="s">
        <v>126</v>
      </c>
      <c r="D43" s="15" t="s">
        <v>127</v>
      </c>
      <c r="E43" s="16" t="s">
        <v>13</v>
      </c>
      <c r="F43" s="16" t="s">
        <v>8</v>
      </c>
      <c r="G43" s="26">
        <v>0</v>
      </c>
      <c r="H43" s="26">
        <f t="shared" si="1"/>
        <v>0</v>
      </c>
    </row>
    <row r="44" spans="1:8" ht="36">
      <c r="A44" s="15" t="s">
        <v>128</v>
      </c>
      <c r="B44" s="15" t="s">
        <v>26</v>
      </c>
      <c r="C44" s="15" t="s">
        <v>129</v>
      </c>
      <c r="D44" s="15" t="s">
        <v>130</v>
      </c>
      <c r="E44" s="16" t="s">
        <v>13</v>
      </c>
      <c r="F44" s="16" t="s">
        <v>8</v>
      </c>
      <c r="G44" s="26">
        <v>0</v>
      </c>
      <c r="H44" s="26">
        <f t="shared" si="1"/>
        <v>0</v>
      </c>
    </row>
    <row r="45" spans="1:8" ht="72">
      <c r="A45" s="15" t="s">
        <v>131</v>
      </c>
      <c r="B45" s="15" t="s">
        <v>26</v>
      </c>
      <c r="C45" s="15" t="s">
        <v>132</v>
      </c>
      <c r="D45" s="15" t="s">
        <v>133</v>
      </c>
      <c r="E45" s="16" t="s">
        <v>13</v>
      </c>
      <c r="F45" s="16" t="s">
        <v>8</v>
      </c>
      <c r="G45" s="26">
        <v>0</v>
      </c>
      <c r="H45" s="26">
        <f t="shared" si="1"/>
        <v>0</v>
      </c>
    </row>
    <row r="46" spans="1:8" ht="48">
      <c r="A46" s="15" t="s">
        <v>135</v>
      </c>
      <c r="B46" s="15" t="s">
        <v>26</v>
      </c>
      <c r="C46" s="15" t="s">
        <v>136</v>
      </c>
      <c r="D46" s="15" t="s">
        <v>137</v>
      </c>
      <c r="E46" s="16" t="s">
        <v>13</v>
      </c>
      <c r="F46" s="16" t="s">
        <v>8</v>
      </c>
      <c r="G46" s="26">
        <v>0</v>
      </c>
      <c r="H46" s="26">
        <f t="shared" si="1"/>
        <v>0</v>
      </c>
    </row>
    <row r="47" spans="1:8" ht="36">
      <c r="A47" s="15" t="s">
        <v>138</v>
      </c>
      <c r="B47" s="15" t="s">
        <v>26</v>
      </c>
      <c r="C47" s="15" t="s">
        <v>139</v>
      </c>
      <c r="D47" s="15" t="s">
        <v>140</v>
      </c>
      <c r="E47" s="16" t="s">
        <v>13</v>
      </c>
      <c r="F47" s="16" t="s">
        <v>8</v>
      </c>
      <c r="G47" s="26">
        <v>0</v>
      </c>
      <c r="H47" s="26">
        <f t="shared" si="1"/>
        <v>0</v>
      </c>
    </row>
    <row r="48" spans="1:8" ht="36">
      <c r="A48" s="15" t="s">
        <v>141</v>
      </c>
      <c r="B48" s="15" t="s">
        <v>26</v>
      </c>
      <c r="C48" s="15" t="s">
        <v>142</v>
      </c>
      <c r="D48" s="15" t="s">
        <v>143</v>
      </c>
      <c r="E48" s="16" t="s">
        <v>13</v>
      </c>
      <c r="F48" s="16" t="s">
        <v>8</v>
      </c>
      <c r="G48" s="26">
        <v>0</v>
      </c>
      <c r="H48" s="26">
        <f t="shared" si="1"/>
        <v>0</v>
      </c>
    </row>
    <row r="49" spans="1:9" ht="36">
      <c r="A49" s="15" t="s">
        <v>144</v>
      </c>
      <c r="B49" s="15" t="s">
        <v>26</v>
      </c>
      <c r="C49" s="15" t="s">
        <v>145</v>
      </c>
      <c r="D49" s="15" t="s">
        <v>146</v>
      </c>
      <c r="E49" s="16" t="s">
        <v>13</v>
      </c>
      <c r="F49" s="16" t="s">
        <v>8</v>
      </c>
      <c r="G49" s="26">
        <v>0</v>
      </c>
      <c r="H49" s="26">
        <f t="shared" si="1"/>
        <v>0</v>
      </c>
    </row>
    <row r="50" spans="1:9" ht="36">
      <c r="A50" s="15" t="s">
        <v>147</v>
      </c>
      <c r="B50" s="15" t="s">
        <v>26</v>
      </c>
      <c r="C50" s="15" t="s">
        <v>148</v>
      </c>
      <c r="D50" s="15" t="s">
        <v>149</v>
      </c>
      <c r="E50" s="16" t="s">
        <v>13</v>
      </c>
      <c r="F50" s="16" t="s">
        <v>8</v>
      </c>
      <c r="G50" s="26">
        <v>0</v>
      </c>
      <c r="H50" s="26">
        <f t="shared" si="1"/>
        <v>0</v>
      </c>
    </row>
    <row r="51" spans="1:9" ht="60">
      <c r="A51" s="15" t="s">
        <v>151</v>
      </c>
      <c r="B51" s="15" t="s">
        <v>152</v>
      </c>
      <c r="C51" s="15" t="s">
        <v>153</v>
      </c>
      <c r="D51" s="15" t="s">
        <v>154</v>
      </c>
      <c r="E51" s="16" t="s">
        <v>13</v>
      </c>
      <c r="F51" s="16" t="s">
        <v>8</v>
      </c>
      <c r="G51" s="26">
        <v>0</v>
      </c>
      <c r="H51" s="26">
        <f t="shared" si="1"/>
        <v>0</v>
      </c>
      <c r="I51" s="56">
        <f>SUM(H2:H51)</f>
        <v>24150</v>
      </c>
    </row>
    <row r="52" spans="1:9" ht="36">
      <c r="A52" s="15" t="s">
        <v>155</v>
      </c>
      <c r="B52" s="15" t="s">
        <v>152</v>
      </c>
      <c r="C52" s="15" t="s">
        <v>153</v>
      </c>
      <c r="D52" s="15" t="s">
        <v>156</v>
      </c>
      <c r="E52" s="16" t="s">
        <v>13</v>
      </c>
      <c r="F52" s="16" t="s">
        <v>8</v>
      </c>
      <c r="G52" s="26">
        <v>0</v>
      </c>
      <c r="H52" s="26">
        <f t="shared" si="1"/>
        <v>0</v>
      </c>
    </row>
    <row r="53" spans="1:9" ht="36">
      <c r="A53" s="15" t="s">
        <v>157</v>
      </c>
      <c r="B53" s="15" t="s">
        <v>152</v>
      </c>
      <c r="C53" s="15" t="s">
        <v>153</v>
      </c>
      <c r="D53" s="15" t="s">
        <v>158</v>
      </c>
      <c r="E53" s="16" t="s">
        <v>13</v>
      </c>
      <c r="F53" s="16" t="s">
        <v>8</v>
      </c>
      <c r="G53" s="26">
        <v>0</v>
      </c>
      <c r="H53" s="26">
        <f t="shared" si="1"/>
        <v>0</v>
      </c>
    </row>
    <row r="54" spans="1:9" ht="36">
      <c r="A54" s="15" t="s">
        <v>159</v>
      </c>
      <c r="B54" s="15" t="s">
        <v>152</v>
      </c>
      <c r="C54" s="15" t="s">
        <v>153</v>
      </c>
      <c r="D54" s="15" t="s">
        <v>160</v>
      </c>
      <c r="E54" s="16" t="s">
        <v>13</v>
      </c>
      <c r="F54" s="16" t="s">
        <v>8</v>
      </c>
      <c r="G54" s="26">
        <v>0</v>
      </c>
      <c r="H54" s="26">
        <f t="shared" si="1"/>
        <v>0</v>
      </c>
    </row>
    <row r="55" spans="1:9" ht="48">
      <c r="A55" s="15" t="s">
        <v>161</v>
      </c>
      <c r="B55" s="15" t="s">
        <v>152</v>
      </c>
      <c r="C55" s="15" t="s">
        <v>162</v>
      </c>
      <c r="D55" s="15" t="s">
        <v>163</v>
      </c>
      <c r="E55" s="16" t="s">
        <v>13</v>
      </c>
      <c r="F55" s="16" t="s">
        <v>8</v>
      </c>
      <c r="G55" s="26">
        <v>1050</v>
      </c>
      <c r="H55" s="26">
        <f t="shared" si="1"/>
        <v>1050</v>
      </c>
    </row>
    <row r="56" spans="1:9" ht="36">
      <c r="A56" s="15" t="s">
        <v>164</v>
      </c>
      <c r="B56" s="15" t="s">
        <v>152</v>
      </c>
      <c r="C56" s="15" t="s">
        <v>165</v>
      </c>
      <c r="D56" s="15" t="s">
        <v>166</v>
      </c>
      <c r="E56" s="16" t="s">
        <v>13</v>
      </c>
      <c r="F56" s="16" t="s">
        <v>8</v>
      </c>
      <c r="G56" s="26">
        <v>0</v>
      </c>
      <c r="H56" s="26">
        <f t="shared" si="1"/>
        <v>0</v>
      </c>
    </row>
    <row r="57" spans="1:9" ht="36">
      <c r="A57" s="15" t="s">
        <v>167</v>
      </c>
      <c r="B57" s="15" t="s">
        <v>152</v>
      </c>
      <c r="C57" s="15" t="s">
        <v>168</v>
      </c>
      <c r="D57" s="15" t="s">
        <v>169</v>
      </c>
      <c r="E57" s="16" t="s">
        <v>13</v>
      </c>
      <c r="F57" s="16" t="s">
        <v>8</v>
      </c>
      <c r="G57" s="26">
        <v>1575</v>
      </c>
      <c r="H57" s="26">
        <f t="shared" si="1"/>
        <v>1575</v>
      </c>
    </row>
    <row r="58" spans="1:9" ht="72">
      <c r="A58" s="15" t="s">
        <v>170</v>
      </c>
      <c r="B58" s="15" t="s">
        <v>152</v>
      </c>
      <c r="C58" s="15" t="s">
        <v>171</v>
      </c>
      <c r="D58" s="15" t="s">
        <v>172</v>
      </c>
      <c r="E58" s="16" t="s">
        <v>13</v>
      </c>
      <c r="F58" s="16" t="s">
        <v>8</v>
      </c>
      <c r="G58" s="26">
        <v>0</v>
      </c>
      <c r="H58" s="26">
        <f t="shared" si="1"/>
        <v>0</v>
      </c>
    </row>
    <row r="59" spans="1:9" ht="48">
      <c r="A59" s="15" t="s">
        <v>173</v>
      </c>
      <c r="B59" s="15" t="s">
        <v>152</v>
      </c>
      <c r="C59" s="15" t="s">
        <v>174</v>
      </c>
      <c r="D59" s="15" t="s">
        <v>175</v>
      </c>
      <c r="E59" s="16" t="s">
        <v>13</v>
      </c>
      <c r="F59" s="16" t="s">
        <v>8</v>
      </c>
      <c r="G59" s="26">
        <v>0</v>
      </c>
      <c r="H59" s="26">
        <f t="shared" si="1"/>
        <v>0</v>
      </c>
    </row>
    <row r="60" spans="1:9" ht="60">
      <c r="A60" s="15" t="s">
        <v>176</v>
      </c>
      <c r="B60" s="15" t="s">
        <v>152</v>
      </c>
      <c r="C60" s="15" t="s">
        <v>174</v>
      </c>
      <c r="D60" s="15" t="s">
        <v>177</v>
      </c>
      <c r="E60" s="16" t="s">
        <v>13</v>
      </c>
      <c r="F60" s="16" t="s">
        <v>8</v>
      </c>
      <c r="G60" s="26">
        <v>0</v>
      </c>
      <c r="H60" s="26">
        <f t="shared" si="1"/>
        <v>0</v>
      </c>
    </row>
    <row r="61" spans="1:9" ht="36">
      <c r="A61" s="15" t="s">
        <v>179</v>
      </c>
      <c r="B61" s="15" t="s">
        <v>152</v>
      </c>
      <c r="C61" s="15" t="s">
        <v>174</v>
      </c>
      <c r="D61" s="15" t="s">
        <v>180</v>
      </c>
      <c r="E61" s="16" t="s">
        <v>13</v>
      </c>
      <c r="F61" s="16" t="s">
        <v>8</v>
      </c>
      <c r="G61" s="26">
        <v>0</v>
      </c>
      <c r="H61" s="26">
        <f t="shared" si="1"/>
        <v>0</v>
      </c>
    </row>
    <row r="62" spans="1:9" ht="84">
      <c r="A62" s="15" t="s">
        <v>181</v>
      </c>
      <c r="B62" s="15" t="s">
        <v>152</v>
      </c>
      <c r="C62" s="15" t="s">
        <v>182</v>
      </c>
      <c r="D62" s="15" t="s">
        <v>183</v>
      </c>
      <c r="E62" s="16" t="s">
        <v>13</v>
      </c>
      <c r="F62" s="16" t="s">
        <v>8</v>
      </c>
      <c r="G62" s="26">
        <v>0</v>
      </c>
      <c r="H62" s="26">
        <f t="shared" si="1"/>
        <v>0</v>
      </c>
    </row>
    <row r="63" spans="1:9" ht="60">
      <c r="A63" s="15" t="s">
        <v>184</v>
      </c>
      <c r="B63" s="15" t="s">
        <v>152</v>
      </c>
      <c r="C63" s="15" t="s">
        <v>185</v>
      </c>
      <c r="D63" s="15" t="s">
        <v>186</v>
      </c>
      <c r="E63" s="16" t="s">
        <v>13</v>
      </c>
      <c r="F63" s="16" t="s">
        <v>8</v>
      </c>
      <c r="G63" s="26">
        <v>0</v>
      </c>
      <c r="H63" s="26">
        <f t="shared" si="1"/>
        <v>0</v>
      </c>
    </row>
    <row r="64" spans="1:9" ht="36">
      <c r="A64" s="15" t="s">
        <v>187</v>
      </c>
      <c r="B64" s="15" t="s">
        <v>152</v>
      </c>
      <c r="C64" s="15" t="s">
        <v>188</v>
      </c>
      <c r="D64" s="15" t="s">
        <v>189</v>
      </c>
      <c r="E64" s="16" t="s">
        <v>13</v>
      </c>
      <c r="F64" s="16" t="s">
        <v>8</v>
      </c>
      <c r="G64" s="26">
        <v>0</v>
      </c>
      <c r="H64" s="26">
        <f t="shared" si="1"/>
        <v>0</v>
      </c>
    </row>
    <row r="65" spans="1:8" ht="84">
      <c r="A65" s="15" t="s">
        <v>190</v>
      </c>
      <c r="B65" s="15" t="s">
        <v>152</v>
      </c>
      <c r="C65" s="15" t="s">
        <v>188</v>
      </c>
      <c r="D65" s="15" t="s">
        <v>191</v>
      </c>
      <c r="E65" s="16" t="s">
        <v>13</v>
      </c>
      <c r="F65" s="16" t="s">
        <v>8</v>
      </c>
      <c r="G65" s="26">
        <v>0</v>
      </c>
      <c r="H65" s="26">
        <f t="shared" si="1"/>
        <v>0</v>
      </c>
    </row>
    <row r="66" spans="1:8" ht="144">
      <c r="A66" s="15" t="s">
        <v>192</v>
      </c>
      <c r="B66" s="15" t="s">
        <v>152</v>
      </c>
      <c r="C66" s="15" t="s">
        <v>193</v>
      </c>
      <c r="D66" s="15" t="s">
        <v>194</v>
      </c>
      <c r="E66" s="16" t="s">
        <v>13</v>
      </c>
      <c r="F66" s="16" t="s">
        <v>8</v>
      </c>
      <c r="G66" s="26">
        <v>0</v>
      </c>
      <c r="H66" s="26">
        <f t="shared" ref="H66:H97" si="2">F66*G66</f>
        <v>0</v>
      </c>
    </row>
    <row r="67" spans="1:8" ht="72">
      <c r="A67" s="15" t="s">
        <v>195</v>
      </c>
      <c r="B67" s="15" t="s">
        <v>152</v>
      </c>
      <c r="C67" s="15" t="s">
        <v>196</v>
      </c>
      <c r="D67" s="15" t="s">
        <v>197</v>
      </c>
      <c r="E67" s="16" t="s">
        <v>13</v>
      </c>
      <c r="F67" s="16" t="s">
        <v>8</v>
      </c>
      <c r="G67" s="26">
        <v>15750</v>
      </c>
      <c r="H67" s="26">
        <f t="shared" si="2"/>
        <v>15750</v>
      </c>
    </row>
    <row r="68" spans="1:8" ht="48">
      <c r="A68" s="15" t="s">
        <v>198</v>
      </c>
      <c r="B68" s="15" t="s">
        <v>152</v>
      </c>
      <c r="C68" s="15" t="s">
        <v>196</v>
      </c>
      <c r="D68" s="15" t="s">
        <v>199</v>
      </c>
      <c r="E68" s="16" t="s">
        <v>13</v>
      </c>
      <c r="F68" s="16" t="s">
        <v>8</v>
      </c>
      <c r="G68" s="26">
        <v>7560</v>
      </c>
      <c r="H68" s="26">
        <f t="shared" si="2"/>
        <v>7560</v>
      </c>
    </row>
    <row r="69" spans="1:8" ht="36">
      <c r="A69" s="15" t="s">
        <v>200</v>
      </c>
      <c r="B69" s="15" t="s">
        <v>201</v>
      </c>
      <c r="C69" s="15" t="s">
        <v>202</v>
      </c>
      <c r="D69" s="15" t="s">
        <v>203</v>
      </c>
      <c r="E69" s="16" t="s">
        <v>13</v>
      </c>
      <c r="F69" s="16" t="s">
        <v>8</v>
      </c>
      <c r="G69" s="26">
        <v>15120</v>
      </c>
      <c r="H69" s="26">
        <f t="shared" si="2"/>
        <v>15120</v>
      </c>
    </row>
    <row r="70" spans="1:8" ht="48">
      <c r="A70" s="15" t="s">
        <v>204</v>
      </c>
      <c r="B70" s="15" t="s">
        <v>201</v>
      </c>
      <c r="C70" s="15" t="s">
        <v>205</v>
      </c>
      <c r="D70" s="15" t="s">
        <v>206</v>
      </c>
      <c r="E70" s="16" t="s">
        <v>13</v>
      </c>
      <c r="F70" s="16" t="s">
        <v>8</v>
      </c>
      <c r="G70" s="26">
        <v>0</v>
      </c>
      <c r="H70" s="26">
        <f t="shared" si="2"/>
        <v>0</v>
      </c>
    </row>
    <row r="71" spans="1:8" ht="48">
      <c r="A71" s="15" t="s">
        <v>207</v>
      </c>
      <c r="B71" s="15" t="s">
        <v>208</v>
      </c>
      <c r="C71" s="15" t="s">
        <v>209</v>
      </c>
      <c r="D71" s="15" t="s">
        <v>210</v>
      </c>
      <c r="E71" s="16" t="s">
        <v>13</v>
      </c>
      <c r="F71" s="16" t="s">
        <v>8</v>
      </c>
      <c r="G71" s="26">
        <v>1575</v>
      </c>
      <c r="H71" s="26">
        <f t="shared" si="2"/>
        <v>1575</v>
      </c>
    </row>
    <row r="72" spans="1:8" ht="36">
      <c r="A72" s="15" t="s">
        <v>211</v>
      </c>
      <c r="B72" s="15" t="s">
        <v>208</v>
      </c>
      <c r="C72" s="15" t="s">
        <v>212</v>
      </c>
      <c r="D72" s="15" t="s">
        <v>213</v>
      </c>
      <c r="E72" s="16" t="s">
        <v>13</v>
      </c>
      <c r="F72" s="16" t="s">
        <v>8</v>
      </c>
      <c r="G72" s="26">
        <v>0</v>
      </c>
      <c r="H72" s="26">
        <f t="shared" si="2"/>
        <v>0</v>
      </c>
    </row>
    <row r="73" spans="1:8" ht="36">
      <c r="A73" s="15" t="s">
        <v>214</v>
      </c>
      <c r="B73" s="15" t="s">
        <v>208</v>
      </c>
      <c r="C73" s="15" t="s">
        <v>215</v>
      </c>
      <c r="D73" s="15" t="s">
        <v>216</v>
      </c>
      <c r="E73" s="16" t="s">
        <v>13</v>
      </c>
      <c r="F73" s="16" t="s">
        <v>8</v>
      </c>
      <c r="G73" s="26">
        <v>525</v>
      </c>
      <c r="H73" s="26">
        <f t="shared" si="2"/>
        <v>525</v>
      </c>
    </row>
    <row r="74" spans="1:8" ht="36">
      <c r="A74" s="15" t="s">
        <v>217</v>
      </c>
      <c r="B74" s="15" t="s">
        <v>208</v>
      </c>
      <c r="C74" s="15" t="s">
        <v>218</v>
      </c>
      <c r="D74" s="15" t="s">
        <v>219</v>
      </c>
      <c r="E74" s="16" t="s">
        <v>13</v>
      </c>
      <c r="F74" s="16" t="s">
        <v>8</v>
      </c>
      <c r="G74" s="26">
        <v>525</v>
      </c>
      <c r="H74" s="26">
        <f t="shared" si="2"/>
        <v>525</v>
      </c>
    </row>
    <row r="75" spans="1:8" ht="48">
      <c r="A75" s="15" t="s">
        <v>220</v>
      </c>
      <c r="B75" s="15" t="s">
        <v>208</v>
      </c>
      <c r="C75" s="15" t="s">
        <v>221</v>
      </c>
      <c r="D75" s="15" t="s">
        <v>222</v>
      </c>
      <c r="E75" s="16" t="s">
        <v>13</v>
      </c>
      <c r="F75" s="16" t="s">
        <v>8</v>
      </c>
      <c r="G75" s="26">
        <v>0</v>
      </c>
      <c r="H75" s="26">
        <f t="shared" si="2"/>
        <v>0</v>
      </c>
    </row>
    <row r="76" spans="1:8" ht="60">
      <c r="A76" s="15" t="s">
        <v>223</v>
      </c>
      <c r="B76" s="15" t="s">
        <v>208</v>
      </c>
      <c r="C76" s="15" t="s">
        <v>224</v>
      </c>
      <c r="D76" s="15" t="s">
        <v>225</v>
      </c>
      <c r="E76" s="16" t="s">
        <v>13</v>
      </c>
      <c r="F76" s="16" t="s">
        <v>8</v>
      </c>
      <c r="G76" s="26">
        <v>0</v>
      </c>
      <c r="H76" s="26">
        <f t="shared" si="2"/>
        <v>0</v>
      </c>
    </row>
    <row r="77" spans="1:8" ht="60">
      <c r="A77" s="15" t="s">
        <v>226</v>
      </c>
      <c r="B77" s="15" t="s">
        <v>208</v>
      </c>
      <c r="C77" s="15" t="s">
        <v>227</v>
      </c>
      <c r="D77" s="15" t="s">
        <v>228</v>
      </c>
      <c r="E77" s="16" t="s">
        <v>13</v>
      </c>
      <c r="F77" s="16" t="s">
        <v>8</v>
      </c>
      <c r="G77" s="26">
        <v>0</v>
      </c>
      <c r="H77" s="26">
        <f t="shared" si="2"/>
        <v>0</v>
      </c>
    </row>
    <row r="78" spans="1:8" ht="48">
      <c r="A78" s="15" t="s">
        <v>229</v>
      </c>
      <c r="B78" s="15" t="s">
        <v>208</v>
      </c>
      <c r="C78" s="15" t="s">
        <v>230</v>
      </c>
      <c r="D78" s="15" t="s">
        <v>231</v>
      </c>
      <c r="E78" s="16" t="s">
        <v>13</v>
      </c>
      <c r="F78" s="16" t="s">
        <v>8</v>
      </c>
      <c r="G78" s="26">
        <v>0</v>
      </c>
      <c r="H78" s="26">
        <f t="shared" si="2"/>
        <v>0</v>
      </c>
    </row>
    <row r="79" spans="1:8" ht="72">
      <c r="A79" s="15" t="s">
        <v>232</v>
      </c>
      <c r="B79" s="15" t="s">
        <v>208</v>
      </c>
      <c r="C79" s="15" t="s">
        <v>233</v>
      </c>
      <c r="D79" s="15" t="s">
        <v>234</v>
      </c>
      <c r="E79" s="16" t="s">
        <v>13</v>
      </c>
      <c r="F79" s="16" t="s">
        <v>8</v>
      </c>
      <c r="G79" s="26">
        <v>0</v>
      </c>
      <c r="H79" s="26">
        <f t="shared" si="2"/>
        <v>0</v>
      </c>
    </row>
    <row r="80" spans="1:8" ht="36">
      <c r="A80" s="15" t="s">
        <v>235</v>
      </c>
      <c r="B80" s="15" t="s">
        <v>208</v>
      </c>
      <c r="C80" s="15" t="s">
        <v>236</v>
      </c>
      <c r="D80" s="15" t="s">
        <v>237</v>
      </c>
      <c r="E80" s="16" t="s">
        <v>13</v>
      </c>
      <c r="F80" s="16" t="s">
        <v>8</v>
      </c>
      <c r="G80" s="26">
        <v>0</v>
      </c>
      <c r="H80" s="26">
        <f t="shared" si="2"/>
        <v>0</v>
      </c>
    </row>
    <row r="81" spans="1:8" ht="36">
      <c r="A81" s="15" t="s">
        <v>239</v>
      </c>
      <c r="B81" s="15" t="s">
        <v>208</v>
      </c>
      <c r="C81" s="15" t="s">
        <v>236</v>
      </c>
      <c r="D81" s="15" t="s">
        <v>240</v>
      </c>
      <c r="E81" s="16" t="s">
        <v>13</v>
      </c>
      <c r="F81" s="16" t="s">
        <v>8</v>
      </c>
      <c r="G81" s="26">
        <v>0</v>
      </c>
      <c r="H81" s="26">
        <f t="shared" si="2"/>
        <v>0</v>
      </c>
    </row>
    <row r="82" spans="1:8" ht="60">
      <c r="A82" s="15" t="s">
        <v>241</v>
      </c>
      <c r="B82" s="15" t="s">
        <v>208</v>
      </c>
      <c r="C82" s="15" t="s">
        <v>242</v>
      </c>
      <c r="D82" s="15" t="s">
        <v>243</v>
      </c>
      <c r="E82" s="16" t="s">
        <v>13</v>
      </c>
      <c r="F82" s="16" t="s">
        <v>8</v>
      </c>
      <c r="G82" s="26">
        <v>0</v>
      </c>
      <c r="H82" s="26">
        <f t="shared" si="2"/>
        <v>0</v>
      </c>
    </row>
    <row r="83" spans="1:8" ht="36">
      <c r="A83" s="15" t="s">
        <v>244</v>
      </c>
      <c r="B83" s="15" t="s">
        <v>208</v>
      </c>
      <c r="C83" s="15" t="s">
        <v>242</v>
      </c>
      <c r="D83" s="15" t="s">
        <v>245</v>
      </c>
      <c r="E83" s="16" t="s">
        <v>13</v>
      </c>
      <c r="F83" s="16" t="s">
        <v>8</v>
      </c>
      <c r="G83" s="26">
        <v>0</v>
      </c>
      <c r="H83" s="26">
        <f t="shared" si="2"/>
        <v>0</v>
      </c>
    </row>
    <row r="84" spans="1:8" ht="36">
      <c r="A84" s="15" t="s">
        <v>246</v>
      </c>
      <c r="B84" s="15" t="s">
        <v>208</v>
      </c>
      <c r="C84" s="15" t="s">
        <v>247</v>
      </c>
      <c r="D84" s="15" t="s">
        <v>248</v>
      </c>
      <c r="E84" s="16" t="s">
        <v>13</v>
      </c>
      <c r="F84" s="16" t="s">
        <v>8</v>
      </c>
      <c r="G84" s="26">
        <v>0</v>
      </c>
      <c r="H84" s="26">
        <f t="shared" si="2"/>
        <v>0</v>
      </c>
    </row>
    <row r="85" spans="1:8" ht="36">
      <c r="A85" s="15" t="s">
        <v>249</v>
      </c>
      <c r="B85" s="15" t="s">
        <v>208</v>
      </c>
      <c r="C85" s="15" t="s">
        <v>250</v>
      </c>
      <c r="D85" s="15" t="s">
        <v>251</v>
      </c>
      <c r="E85" s="16" t="s">
        <v>13</v>
      </c>
      <c r="F85" s="16" t="s">
        <v>8</v>
      </c>
      <c r="G85" s="26">
        <v>0</v>
      </c>
      <c r="H85" s="26">
        <f t="shared" si="2"/>
        <v>0</v>
      </c>
    </row>
    <row r="86" spans="1:8" ht="36">
      <c r="A86" s="15" t="s">
        <v>252</v>
      </c>
      <c r="B86" s="15" t="s">
        <v>208</v>
      </c>
      <c r="C86" s="15" t="s">
        <v>253</v>
      </c>
      <c r="D86" s="15" t="s">
        <v>254</v>
      </c>
      <c r="E86" s="16" t="s">
        <v>13</v>
      </c>
      <c r="F86" s="16" t="s">
        <v>8</v>
      </c>
      <c r="G86" s="26">
        <v>0</v>
      </c>
      <c r="H86" s="26">
        <f t="shared" si="2"/>
        <v>0</v>
      </c>
    </row>
    <row r="87" spans="1:8" ht="36">
      <c r="A87" s="15" t="s">
        <v>255</v>
      </c>
      <c r="B87" s="15" t="s">
        <v>208</v>
      </c>
      <c r="C87" s="15" t="s">
        <v>256</v>
      </c>
      <c r="D87" s="15" t="s">
        <v>257</v>
      </c>
      <c r="E87" s="16" t="s">
        <v>13</v>
      </c>
      <c r="F87" s="16" t="s">
        <v>8</v>
      </c>
      <c r="G87" s="26">
        <v>0</v>
      </c>
      <c r="H87" s="26">
        <f t="shared" si="2"/>
        <v>0</v>
      </c>
    </row>
    <row r="88" spans="1:8" ht="24">
      <c r="A88" s="15" t="s">
        <v>258</v>
      </c>
      <c r="B88" s="15" t="s">
        <v>208</v>
      </c>
      <c r="C88" s="15" t="s">
        <v>259</v>
      </c>
      <c r="D88" s="15" t="s">
        <v>260</v>
      </c>
      <c r="E88" s="16" t="s">
        <v>13</v>
      </c>
      <c r="F88" s="16" t="s">
        <v>8</v>
      </c>
      <c r="G88" s="26">
        <v>0</v>
      </c>
      <c r="H88" s="26">
        <f t="shared" si="2"/>
        <v>0</v>
      </c>
    </row>
    <row r="89" spans="1:8" ht="36">
      <c r="A89" s="15" t="s">
        <v>261</v>
      </c>
      <c r="B89" s="15" t="s">
        <v>208</v>
      </c>
      <c r="C89" s="15" t="s">
        <v>262</v>
      </c>
      <c r="D89" s="15" t="s">
        <v>263</v>
      </c>
      <c r="E89" s="16" t="s">
        <v>13</v>
      </c>
      <c r="F89" s="16" t="s">
        <v>8</v>
      </c>
      <c r="G89" s="26">
        <v>0</v>
      </c>
      <c r="H89" s="26">
        <f t="shared" si="2"/>
        <v>0</v>
      </c>
    </row>
    <row r="90" spans="1:8" ht="36">
      <c r="A90" s="15" t="s">
        <v>264</v>
      </c>
      <c r="B90" s="15" t="s">
        <v>208</v>
      </c>
      <c r="C90" s="15" t="s">
        <v>265</v>
      </c>
      <c r="D90" s="15" t="s">
        <v>266</v>
      </c>
      <c r="E90" s="16" t="s">
        <v>13</v>
      </c>
      <c r="F90" s="16" t="s">
        <v>8</v>
      </c>
      <c r="G90" s="26">
        <v>0</v>
      </c>
      <c r="H90" s="26">
        <f t="shared" si="2"/>
        <v>0</v>
      </c>
    </row>
    <row r="91" spans="1:8" ht="36">
      <c r="A91" s="15" t="s">
        <v>267</v>
      </c>
      <c r="B91" s="15" t="s">
        <v>208</v>
      </c>
      <c r="C91" s="15" t="s">
        <v>268</v>
      </c>
      <c r="D91" s="15" t="s">
        <v>269</v>
      </c>
      <c r="E91" s="16" t="s">
        <v>13</v>
      </c>
      <c r="F91" s="16" t="s">
        <v>8</v>
      </c>
      <c r="G91" s="26">
        <v>0</v>
      </c>
      <c r="H91" s="26">
        <f t="shared" si="2"/>
        <v>0</v>
      </c>
    </row>
    <row r="92" spans="1:8" ht="48">
      <c r="A92" s="15" t="s">
        <v>270</v>
      </c>
      <c r="B92" s="15" t="s">
        <v>208</v>
      </c>
      <c r="C92" s="15" t="s">
        <v>271</v>
      </c>
      <c r="D92" s="15" t="s">
        <v>272</v>
      </c>
      <c r="E92" s="16" t="s">
        <v>13</v>
      </c>
      <c r="F92" s="16" t="s">
        <v>8</v>
      </c>
      <c r="G92" s="26">
        <v>0</v>
      </c>
      <c r="H92" s="26">
        <f t="shared" si="2"/>
        <v>0</v>
      </c>
    </row>
    <row r="93" spans="1:8" ht="48">
      <c r="A93" s="15" t="s">
        <v>273</v>
      </c>
      <c r="B93" s="15" t="s">
        <v>208</v>
      </c>
      <c r="C93" s="15" t="s">
        <v>274</v>
      </c>
      <c r="D93" s="15" t="s">
        <v>275</v>
      </c>
      <c r="E93" s="16" t="s">
        <v>13</v>
      </c>
      <c r="F93" s="16" t="s">
        <v>8</v>
      </c>
      <c r="G93" s="26">
        <v>0</v>
      </c>
      <c r="H93" s="26">
        <f t="shared" si="2"/>
        <v>0</v>
      </c>
    </row>
    <row r="94" spans="1:8" ht="60">
      <c r="A94" s="15" t="s">
        <v>276</v>
      </c>
      <c r="B94" s="15" t="s">
        <v>208</v>
      </c>
      <c r="C94" s="15" t="s">
        <v>277</v>
      </c>
      <c r="D94" s="15" t="s">
        <v>278</v>
      </c>
      <c r="E94" s="16" t="s">
        <v>13</v>
      </c>
      <c r="F94" s="16" t="s">
        <v>8</v>
      </c>
      <c r="G94" s="26">
        <v>0</v>
      </c>
      <c r="H94" s="26">
        <f t="shared" si="2"/>
        <v>0</v>
      </c>
    </row>
    <row r="95" spans="1:8" ht="36">
      <c r="A95" s="15" t="s">
        <v>279</v>
      </c>
      <c r="B95" s="15" t="s">
        <v>208</v>
      </c>
      <c r="C95" s="15" t="s">
        <v>280</v>
      </c>
      <c r="D95" s="15" t="s">
        <v>281</v>
      </c>
      <c r="E95" s="16" t="s">
        <v>13</v>
      </c>
      <c r="F95" s="16" t="s">
        <v>8</v>
      </c>
      <c r="G95" s="26">
        <v>0</v>
      </c>
      <c r="H95" s="26">
        <f t="shared" si="2"/>
        <v>0</v>
      </c>
    </row>
    <row r="96" spans="1:8" ht="48">
      <c r="A96" s="15" t="s">
        <v>282</v>
      </c>
      <c r="B96" s="15" t="s">
        <v>208</v>
      </c>
      <c r="C96" s="15" t="s">
        <v>283</v>
      </c>
      <c r="D96" s="15" t="s">
        <v>284</v>
      </c>
      <c r="E96" s="16" t="s">
        <v>13</v>
      </c>
      <c r="F96" s="16" t="s">
        <v>8</v>
      </c>
      <c r="G96" s="26">
        <v>0</v>
      </c>
      <c r="H96" s="26">
        <f t="shared" si="2"/>
        <v>0</v>
      </c>
    </row>
    <row r="97" spans="1:9" ht="36">
      <c r="A97" s="15" t="s">
        <v>285</v>
      </c>
      <c r="B97" s="15" t="s">
        <v>208</v>
      </c>
      <c r="C97" s="15" t="s">
        <v>286</v>
      </c>
      <c r="D97" s="15" t="s">
        <v>287</v>
      </c>
      <c r="E97" s="16" t="s">
        <v>13</v>
      </c>
      <c r="F97" s="16" t="s">
        <v>8</v>
      </c>
      <c r="G97" s="26">
        <v>0</v>
      </c>
      <c r="H97" s="26">
        <f t="shared" si="2"/>
        <v>0</v>
      </c>
    </row>
    <row r="98" spans="1:9" ht="60">
      <c r="A98" s="15" t="s">
        <v>288</v>
      </c>
      <c r="B98" s="15" t="s">
        <v>208</v>
      </c>
      <c r="C98" s="15" t="s">
        <v>289</v>
      </c>
      <c r="D98" s="15" t="s">
        <v>290</v>
      </c>
      <c r="E98" s="16" t="s">
        <v>13</v>
      </c>
      <c r="F98" s="16" t="s">
        <v>8</v>
      </c>
      <c r="G98" s="26">
        <v>0</v>
      </c>
      <c r="H98" s="26">
        <f t="shared" ref="H98:H116" si="3">F98*G98</f>
        <v>0</v>
      </c>
    </row>
    <row r="99" spans="1:9" ht="156">
      <c r="A99" s="15" t="s">
        <v>291</v>
      </c>
      <c r="B99" s="15" t="s">
        <v>208</v>
      </c>
      <c r="C99" s="15" t="s">
        <v>292</v>
      </c>
      <c r="D99" s="15" t="s">
        <v>293</v>
      </c>
      <c r="E99" s="16" t="s">
        <v>13</v>
      </c>
      <c r="F99" s="16" t="s">
        <v>8</v>
      </c>
      <c r="G99" s="26">
        <v>1050</v>
      </c>
      <c r="H99" s="26">
        <f t="shared" si="3"/>
        <v>1050</v>
      </c>
    </row>
    <row r="100" spans="1:9" ht="72">
      <c r="A100" s="15" t="s">
        <v>294</v>
      </c>
      <c r="B100" s="15" t="s">
        <v>208</v>
      </c>
      <c r="C100" s="15" t="s">
        <v>295</v>
      </c>
      <c r="D100" s="15" t="s">
        <v>296</v>
      </c>
      <c r="E100" s="16" t="s">
        <v>13</v>
      </c>
      <c r="F100" s="16" t="s">
        <v>8</v>
      </c>
      <c r="G100" s="26">
        <v>0</v>
      </c>
      <c r="H100" s="26">
        <f t="shared" si="3"/>
        <v>0</v>
      </c>
    </row>
    <row r="101" spans="1:9" ht="48">
      <c r="A101" s="15" t="s">
        <v>298</v>
      </c>
      <c r="B101" s="15" t="s">
        <v>208</v>
      </c>
      <c r="C101" s="15" t="s">
        <v>295</v>
      </c>
      <c r="D101" s="15" t="s">
        <v>299</v>
      </c>
      <c r="E101" s="16" t="s">
        <v>13</v>
      </c>
      <c r="F101" s="16" t="s">
        <v>8</v>
      </c>
      <c r="G101" s="26">
        <v>0</v>
      </c>
      <c r="H101" s="26">
        <f t="shared" si="3"/>
        <v>0</v>
      </c>
      <c r="I101" s="56">
        <f>SUM(H52:H101)</f>
        <v>44730</v>
      </c>
    </row>
    <row r="102" spans="1:9" ht="36">
      <c r="A102" s="15" t="s">
        <v>300</v>
      </c>
      <c r="B102" s="15" t="s">
        <v>208</v>
      </c>
      <c r="C102" s="15" t="s">
        <v>301</v>
      </c>
      <c r="D102" s="15" t="s">
        <v>302</v>
      </c>
      <c r="E102" s="16" t="s">
        <v>13</v>
      </c>
      <c r="F102" s="16" t="s">
        <v>8</v>
      </c>
      <c r="G102" s="26">
        <v>0</v>
      </c>
      <c r="H102" s="26">
        <f t="shared" si="3"/>
        <v>0</v>
      </c>
    </row>
    <row r="103" spans="1:9" ht="48">
      <c r="A103" s="15" t="s">
        <v>303</v>
      </c>
      <c r="B103" s="15" t="s">
        <v>208</v>
      </c>
      <c r="C103" s="15" t="s">
        <v>304</v>
      </c>
      <c r="D103" s="15" t="s">
        <v>305</v>
      </c>
      <c r="E103" s="16" t="s">
        <v>13</v>
      </c>
      <c r="F103" s="16" t="s">
        <v>8</v>
      </c>
      <c r="G103" s="26">
        <v>0</v>
      </c>
      <c r="H103" s="26">
        <f t="shared" si="3"/>
        <v>0</v>
      </c>
    </row>
    <row r="104" spans="1:9" ht="48">
      <c r="A104" s="15" t="s">
        <v>306</v>
      </c>
      <c r="B104" s="15" t="s">
        <v>208</v>
      </c>
      <c r="C104" s="15" t="s">
        <v>304</v>
      </c>
      <c r="D104" s="15" t="s">
        <v>307</v>
      </c>
      <c r="E104" s="16" t="s">
        <v>13</v>
      </c>
      <c r="F104" s="16" t="s">
        <v>8</v>
      </c>
      <c r="G104" s="26">
        <v>0</v>
      </c>
      <c r="H104" s="26">
        <f t="shared" si="3"/>
        <v>0</v>
      </c>
    </row>
    <row r="105" spans="1:9" ht="48">
      <c r="A105" s="15" t="s">
        <v>308</v>
      </c>
      <c r="B105" s="15" t="s">
        <v>208</v>
      </c>
      <c r="C105" s="15" t="s">
        <v>309</v>
      </c>
      <c r="D105" s="15" t="s">
        <v>310</v>
      </c>
      <c r="E105" s="16" t="s">
        <v>13</v>
      </c>
      <c r="F105" s="16" t="s">
        <v>8</v>
      </c>
      <c r="G105" s="26">
        <v>0</v>
      </c>
      <c r="H105" s="26">
        <f t="shared" si="3"/>
        <v>0</v>
      </c>
    </row>
    <row r="106" spans="1:9" ht="48">
      <c r="A106" s="15" t="s">
        <v>311</v>
      </c>
      <c r="B106" s="15" t="s">
        <v>208</v>
      </c>
      <c r="C106" s="15" t="s">
        <v>309</v>
      </c>
      <c r="D106" s="15" t="s">
        <v>312</v>
      </c>
      <c r="E106" s="16" t="s">
        <v>13</v>
      </c>
      <c r="F106" s="16" t="s">
        <v>8</v>
      </c>
      <c r="G106" s="26">
        <v>0</v>
      </c>
      <c r="H106" s="26">
        <f t="shared" si="3"/>
        <v>0</v>
      </c>
    </row>
    <row r="107" spans="1:9" ht="36">
      <c r="A107" s="15" t="s">
        <v>313</v>
      </c>
      <c r="B107" s="15" t="s">
        <v>208</v>
      </c>
      <c r="C107" s="15" t="s">
        <v>314</v>
      </c>
      <c r="D107" s="15" t="s">
        <v>315</v>
      </c>
      <c r="E107" s="16" t="s">
        <v>13</v>
      </c>
      <c r="F107" s="16" t="s">
        <v>8</v>
      </c>
      <c r="G107" s="26">
        <v>0</v>
      </c>
      <c r="H107" s="26">
        <f t="shared" si="3"/>
        <v>0</v>
      </c>
    </row>
    <row r="108" spans="1:9" ht="60">
      <c r="A108" s="15" t="s">
        <v>316</v>
      </c>
      <c r="B108" s="15" t="s">
        <v>317</v>
      </c>
      <c r="C108" s="15" t="s">
        <v>318</v>
      </c>
      <c r="D108" s="15" t="s">
        <v>319</v>
      </c>
      <c r="E108" s="16" t="s">
        <v>13</v>
      </c>
      <c r="F108" s="16" t="s">
        <v>8</v>
      </c>
      <c r="G108" s="26">
        <v>0</v>
      </c>
      <c r="H108" s="26">
        <f t="shared" si="3"/>
        <v>0</v>
      </c>
    </row>
    <row r="109" spans="1:9" ht="60">
      <c r="A109" s="15" t="s">
        <v>320</v>
      </c>
      <c r="B109" s="15" t="s">
        <v>317</v>
      </c>
      <c r="C109" s="15" t="s">
        <v>321</v>
      </c>
      <c r="D109" s="15" t="s">
        <v>322</v>
      </c>
      <c r="E109" s="16" t="s">
        <v>13</v>
      </c>
      <c r="F109" s="16" t="s">
        <v>8</v>
      </c>
      <c r="G109" s="26">
        <v>0</v>
      </c>
      <c r="H109" s="26">
        <f t="shared" si="3"/>
        <v>0</v>
      </c>
    </row>
    <row r="110" spans="1:9" ht="60">
      <c r="A110" s="15" t="s">
        <v>323</v>
      </c>
      <c r="B110" s="15" t="s">
        <v>317</v>
      </c>
      <c r="C110" s="15" t="s">
        <v>324</v>
      </c>
      <c r="D110" s="15" t="s">
        <v>325</v>
      </c>
      <c r="E110" s="16" t="s">
        <v>13</v>
      </c>
      <c r="F110" s="16" t="s">
        <v>8</v>
      </c>
      <c r="G110" s="26">
        <v>0</v>
      </c>
      <c r="H110" s="26">
        <f t="shared" si="3"/>
        <v>0</v>
      </c>
    </row>
    <row r="111" spans="1:9" ht="60">
      <c r="A111" s="15" t="s">
        <v>326</v>
      </c>
      <c r="B111" s="15" t="s">
        <v>317</v>
      </c>
      <c r="C111" s="15" t="s">
        <v>327</v>
      </c>
      <c r="D111" s="15" t="s">
        <v>328</v>
      </c>
      <c r="E111" s="16" t="s">
        <v>13</v>
      </c>
      <c r="F111" s="16" t="s">
        <v>8</v>
      </c>
      <c r="G111" s="26">
        <v>0</v>
      </c>
      <c r="H111" s="26">
        <f t="shared" si="3"/>
        <v>0</v>
      </c>
    </row>
    <row r="112" spans="1:9" ht="180">
      <c r="A112" s="15" t="s">
        <v>329</v>
      </c>
      <c r="B112" s="15" t="s">
        <v>330</v>
      </c>
      <c r="C112" s="15" t="s">
        <v>331</v>
      </c>
      <c r="D112" s="15" t="s">
        <v>332</v>
      </c>
      <c r="E112" s="16" t="s">
        <v>333</v>
      </c>
      <c r="F112" s="16">
        <v>1</v>
      </c>
      <c r="G112" s="26">
        <v>124800</v>
      </c>
      <c r="H112" s="26">
        <f t="shared" si="3"/>
        <v>124800</v>
      </c>
    </row>
    <row r="113" spans="1:9" ht="36">
      <c r="A113" s="15" t="s">
        <v>334</v>
      </c>
      <c r="B113" s="15" t="s">
        <v>335</v>
      </c>
      <c r="C113" s="15" t="s">
        <v>336</v>
      </c>
      <c r="D113" s="15" t="s">
        <v>337</v>
      </c>
      <c r="E113" s="16" t="s">
        <v>13</v>
      </c>
      <c r="F113" s="16" t="s">
        <v>8</v>
      </c>
      <c r="G113" s="26">
        <v>0</v>
      </c>
      <c r="H113" s="26">
        <f t="shared" si="3"/>
        <v>0</v>
      </c>
    </row>
    <row r="114" spans="1:9" ht="36">
      <c r="A114" s="15" t="s">
        <v>338</v>
      </c>
      <c r="B114" s="15" t="s">
        <v>330</v>
      </c>
      <c r="C114" s="15" t="s">
        <v>339</v>
      </c>
      <c r="D114" s="15" t="s">
        <v>340</v>
      </c>
      <c r="E114" s="16" t="s">
        <v>13</v>
      </c>
      <c r="F114" s="16" t="s">
        <v>8</v>
      </c>
      <c r="G114" s="26">
        <v>0</v>
      </c>
      <c r="H114" s="26">
        <f t="shared" ref="H114" si="4">F114*G114</f>
        <v>0</v>
      </c>
    </row>
    <row r="115" spans="1:9" ht="108">
      <c r="A115" s="15" t="s">
        <v>341</v>
      </c>
      <c r="B115" s="15" t="s">
        <v>342</v>
      </c>
      <c r="C115" s="15" t="s">
        <v>1542</v>
      </c>
      <c r="D115" s="15" t="s">
        <v>344</v>
      </c>
      <c r="E115" s="16" t="s">
        <v>13</v>
      </c>
      <c r="F115" s="16" t="s">
        <v>8</v>
      </c>
      <c r="G115" s="26">
        <v>25200</v>
      </c>
      <c r="H115" s="26">
        <f t="shared" si="3"/>
        <v>25200</v>
      </c>
    </row>
    <row r="116" spans="1:9" ht="48.75" thickBot="1">
      <c r="A116" s="35" t="s">
        <v>345</v>
      </c>
      <c r="B116" s="35" t="s">
        <v>26</v>
      </c>
      <c r="C116" s="35" t="s">
        <v>1543</v>
      </c>
      <c r="D116" s="35" t="s">
        <v>347</v>
      </c>
      <c r="E116" s="36" t="s">
        <v>13</v>
      </c>
      <c r="F116" s="36" t="s">
        <v>8</v>
      </c>
      <c r="G116" s="37">
        <v>8700</v>
      </c>
      <c r="H116" s="37">
        <f t="shared" si="3"/>
        <v>8700</v>
      </c>
      <c r="I116" s="56">
        <f>SUM(H102:H116)</f>
        <v>158700</v>
      </c>
    </row>
    <row r="117" spans="1:9" ht="30" customHeight="1" thickBot="1">
      <c r="A117" s="94" t="s">
        <v>1541</v>
      </c>
      <c r="B117" s="95"/>
      <c r="C117" s="95"/>
      <c r="D117" s="95"/>
      <c r="E117" s="95"/>
      <c r="F117" s="96"/>
      <c r="G117" s="92">
        <f>SUM(H2:H116)</f>
        <v>227580</v>
      </c>
      <c r="H117" s="93"/>
    </row>
  </sheetData>
  <autoFilter ref="A1:H117" xr:uid="{00000000-0009-0000-0000-000000000000}"/>
  <mergeCells count="2">
    <mergeCell ref="G117:H117"/>
    <mergeCell ref="A117:F117"/>
  </mergeCells>
  <pageMargins left="0.23622047244094491" right="0.23622047244094491" top="0.74803149606299213" bottom="0.74803149606299213" header="0.31496062992125984" footer="0.31496062992125984"/>
  <pageSetup paperSize="9" orientation="landscape" r:id="rId1"/>
  <headerFooter>
    <oddHeader>&amp;L&amp;"Arial,Bold"&amp;11BILL NO 01 PRELIMINARIES</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117"/>
  <sheetViews>
    <sheetView topLeftCell="A6" zoomScaleNormal="100" workbookViewId="0">
      <selection activeCell="C17" sqref="C17"/>
    </sheetView>
  </sheetViews>
  <sheetFormatPr defaultRowHeight="12.75"/>
  <cols>
    <col min="1" max="1" width="5.42578125" customWidth="1"/>
    <col min="2" max="2" width="13.7109375" customWidth="1"/>
    <col min="3" max="3" width="21.28515625" customWidth="1"/>
    <col min="4" max="4" width="47.5703125" customWidth="1"/>
    <col min="5" max="6" width="9.28515625" style="3"/>
    <col min="7" max="7" width="11.7109375" style="34" customWidth="1"/>
    <col min="8" max="8" width="13.5703125" style="34" customWidth="1"/>
    <col min="9" max="9" width="16" style="57" customWidth="1"/>
  </cols>
  <sheetData>
    <row r="1" spans="1:9" ht="38.25">
      <c r="A1" s="31" t="s">
        <v>0</v>
      </c>
      <c r="B1" s="31" t="s">
        <v>1</v>
      </c>
      <c r="C1" s="31" t="s">
        <v>2</v>
      </c>
      <c r="D1" s="31" t="s">
        <v>3</v>
      </c>
      <c r="E1" s="32" t="s">
        <v>4</v>
      </c>
      <c r="F1" s="32" t="s">
        <v>5</v>
      </c>
      <c r="G1" s="33" t="s">
        <v>1547</v>
      </c>
      <c r="H1" s="33" t="s">
        <v>7</v>
      </c>
    </row>
    <row r="2" spans="1:9" s="14" customFormat="1" ht="24">
      <c r="A2" s="15" t="s">
        <v>348</v>
      </c>
      <c r="B2" s="15" t="s">
        <v>349</v>
      </c>
      <c r="C2" s="15" t="s">
        <v>350</v>
      </c>
      <c r="D2" s="15" t="s">
        <v>351</v>
      </c>
      <c r="E2" s="16" t="s">
        <v>13</v>
      </c>
      <c r="F2" s="16" t="s">
        <v>8</v>
      </c>
      <c r="G2" s="26">
        <v>0</v>
      </c>
      <c r="H2" s="26">
        <f t="shared" ref="H2:H33" si="0">F2*G2</f>
        <v>0</v>
      </c>
      <c r="I2" s="55"/>
    </row>
    <row r="3" spans="1:9" s="14" customFormat="1" ht="120">
      <c r="A3" s="15" t="s">
        <v>352</v>
      </c>
      <c r="B3" s="15" t="s">
        <v>349</v>
      </c>
      <c r="C3" s="15" t="s">
        <v>350</v>
      </c>
      <c r="D3" s="15" t="s">
        <v>353</v>
      </c>
      <c r="E3" s="16" t="s">
        <v>13</v>
      </c>
      <c r="F3" s="16" t="s">
        <v>8</v>
      </c>
      <c r="G3" s="26">
        <v>0</v>
      </c>
      <c r="H3" s="26">
        <f t="shared" si="0"/>
        <v>0</v>
      </c>
      <c r="I3" s="55"/>
    </row>
    <row r="4" spans="1:9" s="14" customFormat="1" ht="132">
      <c r="A4" s="15" t="s">
        <v>354</v>
      </c>
      <c r="B4" s="15" t="s">
        <v>349</v>
      </c>
      <c r="C4" s="15" t="s">
        <v>355</v>
      </c>
      <c r="D4" s="15" t="s">
        <v>356</v>
      </c>
      <c r="E4" s="16" t="s">
        <v>13</v>
      </c>
      <c r="F4" s="16" t="s">
        <v>8</v>
      </c>
      <c r="G4" s="26">
        <v>0</v>
      </c>
      <c r="H4" s="26">
        <f t="shared" si="0"/>
        <v>0</v>
      </c>
      <c r="I4" s="55"/>
    </row>
    <row r="5" spans="1:9" s="14" customFormat="1" ht="96">
      <c r="A5" s="15" t="s">
        <v>357</v>
      </c>
      <c r="B5" s="15" t="s">
        <v>349</v>
      </c>
      <c r="C5" s="15" t="s">
        <v>355</v>
      </c>
      <c r="D5" s="15" t="s">
        <v>358</v>
      </c>
      <c r="E5" s="16" t="s">
        <v>13</v>
      </c>
      <c r="F5" s="16" t="s">
        <v>8</v>
      </c>
      <c r="G5" s="26">
        <v>0</v>
      </c>
      <c r="H5" s="26">
        <f t="shared" si="0"/>
        <v>0</v>
      </c>
      <c r="I5" s="55"/>
    </row>
    <row r="6" spans="1:9" s="14" customFormat="1" ht="96">
      <c r="A6" s="15" t="s">
        <v>359</v>
      </c>
      <c r="B6" s="15" t="s">
        <v>349</v>
      </c>
      <c r="C6" s="15" t="s">
        <v>355</v>
      </c>
      <c r="D6" s="15" t="s">
        <v>360</v>
      </c>
      <c r="E6" s="16" t="s">
        <v>13</v>
      </c>
      <c r="F6" s="16" t="s">
        <v>8</v>
      </c>
      <c r="G6" s="26">
        <v>0</v>
      </c>
      <c r="H6" s="26">
        <f t="shared" si="0"/>
        <v>0</v>
      </c>
      <c r="I6" s="55"/>
    </row>
    <row r="7" spans="1:9" s="14" customFormat="1" ht="96">
      <c r="A7" s="15" t="s">
        <v>361</v>
      </c>
      <c r="B7" s="15" t="s">
        <v>349</v>
      </c>
      <c r="C7" s="15" t="s">
        <v>355</v>
      </c>
      <c r="D7" s="15" t="s">
        <v>362</v>
      </c>
      <c r="E7" s="16" t="s">
        <v>13</v>
      </c>
      <c r="F7" s="16" t="s">
        <v>8</v>
      </c>
      <c r="G7" s="26">
        <v>0</v>
      </c>
      <c r="H7" s="26">
        <f t="shared" si="0"/>
        <v>0</v>
      </c>
      <c r="I7" s="55"/>
    </row>
    <row r="8" spans="1:9" s="14" customFormat="1" ht="48">
      <c r="A8" s="15" t="s">
        <v>363</v>
      </c>
      <c r="B8" s="15" t="s">
        <v>349</v>
      </c>
      <c r="C8" s="15" t="s">
        <v>364</v>
      </c>
      <c r="D8" s="15" t="s">
        <v>365</v>
      </c>
      <c r="E8" s="16" t="s">
        <v>13</v>
      </c>
      <c r="F8" s="16" t="s">
        <v>8</v>
      </c>
      <c r="G8" s="26">
        <v>0</v>
      </c>
      <c r="H8" s="26">
        <f t="shared" si="0"/>
        <v>0</v>
      </c>
      <c r="I8" s="55"/>
    </row>
    <row r="9" spans="1:9" s="14" customFormat="1" ht="84">
      <c r="A9" s="15" t="s">
        <v>366</v>
      </c>
      <c r="B9" s="15" t="s">
        <v>349</v>
      </c>
      <c r="C9" s="15" t="s">
        <v>364</v>
      </c>
      <c r="D9" s="15" t="s">
        <v>367</v>
      </c>
      <c r="E9" s="16" t="s">
        <v>13</v>
      </c>
      <c r="F9" s="16" t="s">
        <v>8</v>
      </c>
      <c r="G9" s="26">
        <v>0</v>
      </c>
      <c r="H9" s="26">
        <f t="shared" si="0"/>
        <v>0</v>
      </c>
      <c r="I9" s="55"/>
    </row>
    <row r="10" spans="1:9" s="14" customFormat="1" ht="72">
      <c r="A10" s="15" t="s">
        <v>368</v>
      </c>
      <c r="B10" s="15" t="s">
        <v>349</v>
      </c>
      <c r="C10" s="15" t="s">
        <v>369</v>
      </c>
      <c r="D10" s="15" t="s">
        <v>370</v>
      </c>
      <c r="E10" s="16" t="s">
        <v>13</v>
      </c>
      <c r="F10" s="16" t="s">
        <v>8</v>
      </c>
      <c r="G10" s="26">
        <v>0</v>
      </c>
      <c r="H10" s="26">
        <f t="shared" si="0"/>
        <v>0</v>
      </c>
      <c r="I10" s="55"/>
    </row>
    <row r="11" spans="1:9" s="14" customFormat="1" ht="72">
      <c r="A11" s="15" t="s">
        <v>371</v>
      </c>
      <c r="B11" s="15" t="s">
        <v>349</v>
      </c>
      <c r="C11" s="15" t="s">
        <v>369</v>
      </c>
      <c r="D11" s="15" t="s">
        <v>372</v>
      </c>
      <c r="E11" s="16" t="s">
        <v>13</v>
      </c>
      <c r="F11" s="16" t="s">
        <v>8</v>
      </c>
      <c r="G11" s="26">
        <v>0</v>
      </c>
      <c r="H11" s="26">
        <f t="shared" si="0"/>
        <v>0</v>
      </c>
      <c r="I11" s="55"/>
    </row>
    <row r="12" spans="1:9" s="14" customFormat="1" ht="72">
      <c r="A12" s="15" t="s">
        <v>373</v>
      </c>
      <c r="B12" s="15" t="s">
        <v>349</v>
      </c>
      <c r="C12" s="15" t="s">
        <v>369</v>
      </c>
      <c r="D12" s="15" t="s">
        <v>374</v>
      </c>
      <c r="E12" s="16" t="s">
        <v>13</v>
      </c>
      <c r="F12" s="16" t="s">
        <v>8</v>
      </c>
      <c r="G12" s="26">
        <v>0</v>
      </c>
      <c r="H12" s="26">
        <f t="shared" si="0"/>
        <v>0</v>
      </c>
      <c r="I12" s="55"/>
    </row>
    <row r="13" spans="1:9" s="14" customFormat="1" ht="72">
      <c r="A13" s="15" t="s">
        <v>375</v>
      </c>
      <c r="B13" s="15" t="s">
        <v>349</v>
      </c>
      <c r="C13" s="15" t="s">
        <v>369</v>
      </c>
      <c r="D13" s="15" t="s">
        <v>376</v>
      </c>
      <c r="E13" s="16" t="s">
        <v>13</v>
      </c>
      <c r="F13" s="16" t="s">
        <v>8</v>
      </c>
      <c r="G13" s="26">
        <v>0</v>
      </c>
      <c r="H13" s="26">
        <f t="shared" si="0"/>
        <v>0</v>
      </c>
      <c r="I13" s="55"/>
    </row>
    <row r="14" spans="1:9" s="14" customFormat="1" ht="72">
      <c r="A14" s="15" t="s">
        <v>377</v>
      </c>
      <c r="B14" s="15" t="s">
        <v>349</v>
      </c>
      <c r="C14" s="15" t="s">
        <v>369</v>
      </c>
      <c r="D14" s="15" t="s">
        <v>362</v>
      </c>
      <c r="E14" s="16" t="s">
        <v>13</v>
      </c>
      <c r="F14" s="16" t="s">
        <v>8</v>
      </c>
      <c r="G14" s="26">
        <v>0</v>
      </c>
      <c r="H14" s="26">
        <f t="shared" si="0"/>
        <v>0</v>
      </c>
      <c r="I14" s="55"/>
    </row>
    <row r="15" spans="1:9" s="14" customFormat="1" ht="48">
      <c r="A15" s="15" t="s">
        <v>378</v>
      </c>
      <c r="B15" s="15" t="s">
        <v>349</v>
      </c>
      <c r="C15" s="15" t="s">
        <v>379</v>
      </c>
      <c r="D15" s="15" t="s">
        <v>380</v>
      </c>
      <c r="E15" s="16" t="s">
        <v>13</v>
      </c>
      <c r="F15" s="16" t="s">
        <v>8</v>
      </c>
      <c r="G15" s="26">
        <v>0</v>
      </c>
      <c r="H15" s="26">
        <f t="shared" si="0"/>
        <v>0</v>
      </c>
      <c r="I15" s="55"/>
    </row>
    <row r="16" spans="1:9" s="14" customFormat="1" ht="48">
      <c r="A16" s="15" t="s">
        <v>381</v>
      </c>
      <c r="B16" s="15" t="s">
        <v>349</v>
      </c>
      <c r="C16" s="15" t="s">
        <v>379</v>
      </c>
      <c r="D16" s="15" t="s">
        <v>382</v>
      </c>
      <c r="E16" s="16" t="s">
        <v>13</v>
      </c>
      <c r="F16" s="16" t="s">
        <v>8</v>
      </c>
      <c r="G16" s="26">
        <v>0</v>
      </c>
      <c r="H16" s="26">
        <f t="shared" si="0"/>
        <v>0</v>
      </c>
      <c r="I16" s="55"/>
    </row>
    <row r="17" spans="1:9" s="14" customFormat="1" ht="24">
      <c r="A17" s="15" t="s">
        <v>383</v>
      </c>
      <c r="B17" s="15" t="s">
        <v>349</v>
      </c>
      <c r="C17" s="15" t="s">
        <v>384</v>
      </c>
      <c r="D17" s="15" t="s">
        <v>385</v>
      </c>
      <c r="E17" s="16" t="s">
        <v>386</v>
      </c>
      <c r="F17" s="16" t="s">
        <v>387</v>
      </c>
      <c r="G17" s="26">
        <v>0</v>
      </c>
      <c r="H17" s="26">
        <f t="shared" si="0"/>
        <v>0</v>
      </c>
      <c r="I17" s="55"/>
    </row>
    <row r="18" spans="1:9" s="14" customFormat="1" ht="24">
      <c r="A18" s="15" t="s">
        <v>388</v>
      </c>
      <c r="B18" s="15" t="s">
        <v>349</v>
      </c>
      <c r="C18" s="15" t="s">
        <v>384</v>
      </c>
      <c r="D18" s="15" t="s">
        <v>389</v>
      </c>
      <c r="E18" s="16" t="s">
        <v>386</v>
      </c>
      <c r="F18" s="16" t="s">
        <v>81</v>
      </c>
      <c r="G18" s="26">
        <v>0</v>
      </c>
      <c r="H18" s="26">
        <f t="shared" si="0"/>
        <v>0</v>
      </c>
      <c r="I18" s="55"/>
    </row>
    <row r="19" spans="1:9" s="14" customFormat="1" ht="24">
      <c r="A19" s="15" t="s">
        <v>390</v>
      </c>
      <c r="B19" s="15" t="s">
        <v>349</v>
      </c>
      <c r="C19" s="15" t="s">
        <v>384</v>
      </c>
      <c r="D19" s="15" t="s">
        <v>391</v>
      </c>
      <c r="E19" s="16" t="s">
        <v>386</v>
      </c>
      <c r="F19" s="16" t="s">
        <v>150</v>
      </c>
      <c r="G19" s="26">
        <v>0</v>
      </c>
      <c r="H19" s="26">
        <f t="shared" si="0"/>
        <v>0</v>
      </c>
      <c r="I19" s="55"/>
    </row>
    <row r="20" spans="1:9" s="14" customFormat="1" ht="24">
      <c r="A20" s="15" t="s">
        <v>392</v>
      </c>
      <c r="B20" s="15" t="s">
        <v>349</v>
      </c>
      <c r="C20" s="15" t="s">
        <v>384</v>
      </c>
      <c r="D20" s="15" t="s">
        <v>393</v>
      </c>
      <c r="E20" s="16" t="s">
        <v>386</v>
      </c>
      <c r="F20" s="16" t="s">
        <v>150</v>
      </c>
      <c r="G20" s="26">
        <v>0</v>
      </c>
      <c r="H20" s="26">
        <f t="shared" si="0"/>
        <v>0</v>
      </c>
      <c r="I20" s="55"/>
    </row>
    <row r="21" spans="1:9" s="14" customFormat="1" ht="24">
      <c r="A21" s="15" t="s">
        <v>394</v>
      </c>
      <c r="B21" s="15" t="s">
        <v>349</v>
      </c>
      <c r="C21" s="15" t="s">
        <v>384</v>
      </c>
      <c r="D21" s="15" t="s">
        <v>395</v>
      </c>
      <c r="E21" s="16" t="s">
        <v>386</v>
      </c>
      <c r="F21" s="16" t="s">
        <v>150</v>
      </c>
      <c r="G21" s="26">
        <v>0</v>
      </c>
      <c r="H21" s="26">
        <f t="shared" si="0"/>
        <v>0</v>
      </c>
      <c r="I21" s="55"/>
    </row>
    <row r="22" spans="1:9" s="14" customFormat="1" ht="24">
      <c r="A22" s="15" t="s">
        <v>396</v>
      </c>
      <c r="B22" s="15" t="s">
        <v>349</v>
      </c>
      <c r="C22" s="15" t="s">
        <v>384</v>
      </c>
      <c r="D22" s="15" t="s">
        <v>397</v>
      </c>
      <c r="E22" s="16" t="s">
        <v>386</v>
      </c>
      <c r="F22" s="16" t="s">
        <v>150</v>
      </c>
      <c r="G22" s="26">
        <v>10.5</v>
      </c>
      <c r="H22" s="26">
        <f t="shared" si="0"/>
        <v>525</v>
      </c>
      <c r="I22" s="55"/>
    </row>
    <row r="23" spans="1:9" s="14" customFormat="1" ht="24">
      <c r="A23" s="15" t="s">
        <v>398</v>
      </c>
      <c r="B23" s="15" t="s">
        <v>349</v>
      </c>
      <c r="C23" s="15" t="s">
        <v>384</v>
      </c>
      <c r="D23" s="15" t="s">
        <v>399</v>
      </c>
      <c r="E23" s="16" t="s">
        <v>386</v>
      </c>
      <c r="F23" s="16" t="s">
        <v>150</v>
      </c>
      <c r="G23" s="26">
        <v>10.5</v>
      </c>
      <c r="H23" s="26">
        <f t="shared" si="0"/>
        <v>525</v>
      </c>
      <c r="I23" s="55"/>
    </row>
    <row r="24" spans="1:9" s="14" customFormat="1" ht="24">
      <c r="A24" s="15" t="s">
        <v>400</v>
      </c>
      <c r="B24" s="15" t="s">
        <v>349</v>
      </c>
      <c r="C24" s="15" t="s">
        <v>384</v>
      </c>
      <c r="D24" s="15" t="s">
        <v>401</v>
      </c>
      <c r="E24" s="16" t="s">
        <v>386</v>
      </c>
      <c r="F24" s="16" t="s">
        <v>150</v>
      </c>
      <c r="G24" s="26">
        <v>10.5</v>
      </c>
      <c r="H24" s="26">
        <f t="shared" si="0"/>
        <v>525</v>
      </c>
      <c r="I24" s="55"/>
    </row>
    <row r="25" spans="1:9" s="14" customFormat="1" ht="24">
      <c r="A25" s="15" t="s">
        <v>402</v>
      </c>
      <c r="B25" s="15" t="s">
        <v>349</v>
      </c>
      <c r="C25" s="15" t="s">
        <v>384</v>
      </c>
      <c r="D25" s="15" t="s">
        <v>403</v>
      </c>
      <c r="E25" s="16" t="s">
        <v>386</v>
      </c>
      <c r="F25" s="16" t="s">
        <v>150</v>
      </c>
      <c r="G25" s="26">
        <v>10.5</v>
      </c>
      <c r="H25" s="26">
        <f t="shared" si="0"/>
        <v>525</v>
      </c>
      <c r="I25" s="55"/>
    </row>
    <row r="26" spans="1:9" s="14" customFormat="1" ht="24">
      <c r="A26" s="15" t="s">
        <v>404</v>
      </c>
      <c r="B26" s="15" t="s">
        <v>349</v>
      </c>
      <c r="C26" s="15" t="s">
        <v>384</v>
      </c>
      <c r="D26" s="15" t="s">
        <v>405</v>
      </c>
      <c r="E26" s="16" t="s">
        <v>386</v>
      </c>
      <c r="F26" s="16" t="s">
        <v>150</v>
      </c>
      <c r="G26" s="26">
        <v>10.5</v>
      </c>
      <c r="H26" s="26">
        <f t="shared" si="0"/>
        <v>525</v>
      </c>
      <c r="I26" s="55"/>
    </row>
    <row r="27" spans="1:9" s="14" customFormat="1" ht="24">
      <c r="A27" s="15" t="s">
        <v>406</v>
      </c>
      <c r="B27" s="15" t="s">
        <v>349</v>
      </c>
      <c r="C27" s="15" t="s">
        <v>384</v>
      </c>
      <c r="D27" s="15" t="s">
        <v>407</v>
      </c>
      <c r="E27" s="16" t="s">
        <v>386</v>
      </c>
      <c r="F27" s="16" t="s">
        <v>150</v>
      </c>
      <c r="G27" s="26">
        <v>10.5</v>
      </c>
      <c r="H27" s="26">
        <f t="shared" si="0"/>
        <v>525</v>
      </c>
      <c r="I27" s="55"/>
    </row>
    <row r="28" spans="1:9" s="14" customFormat="1" ht="24">
      <c r="A28" s="15" t="s">
        <v>408</v>
      </c>
      <c r="B28" s="15" t="s">
        <v>349</v>
      </c>
      <c r="C28" s="15" t="s">
        <v>384</v>
      </c>
      <c r="D28" s="15" t="s">
        <v>409</v>
      </c>
      <c r="E28" s="16" t="s">
        <v>386</v>
      </c>
      <c r="F28" s="16" t="s">
        <v>150</v>
      </c>
      <c r="G28" s="26">
        <v>10.5</v>
      </c>
      <c r="H28" s="26">
        <f t="shared" si="0"/>
        <v>525</v>
      </c>
      <c r="I28" s="55"/>
    </row>
    <row r="29" spans="1:9" s="14" customFormat="1" ht="24">
      <c r="A29" s="15" t="s">
        <v>410</v>
      </c>
      <c r="B29" s="15" t="s">
        <v>349</v>
      </c>
      <c r="C29" s="15" t="s">
        <v>384</v>
      </c>
      <c r="D29" s="15" t="s">
        <v>411</v>
      </c>
      <c r="E29" s="16" t="s">
        <v>386</v>
      </c>
      <c r="F29" s="16" t="s">
        <v>150</v>
      </c>
      <c r="G29" s="26">
        <v>10.5</v>
      </c>
      <c r="H29" s="26">
        <f t="shared" si="0"/>
        <v>525</v>
      </c>
      <c r="I29" s="55"/>
    </row>
    <row r="30" spans="1:9" s="14" customFormat="1" ht="24">
      <c r="A30" s="15" t="s">
        <v>412</v>
      </c>
      <c r="B30" s="15" t="s">
        <v>349</v>
      </c>
      <c r="C30" s="15" t="s">
        <v>384</v>
      </c>
      <c r="D30" s="15" t="s">
        <v>413</v>
      </c>
      <c r="E30" s="16" t="s">
        <v>386</v>
      </c>
      <c r="F30" s="16" t="s">
        <v>238</v>
      </c>
      <c r="G30" s="26">
        <v>10.5</v>
      </c>
      <c r="H30" s="26">
        <f t="shared" si="0"/>
        <v>840</v>
      </c>
      <c r="I30" s="55"/>
    </row>
    <row r="31" spans="1:9" s="14" customFormat="1" ht="60">
      <c r="A31" s="15" t="s">
        <v>414</v>
      </c>
      <c r="B31" s="15" t="s">
        <v>349</v>
      </c>
      <c r="C31" s="15" t="s">
        <v>364</v>
      </c>
      <c r="D31" s="15" t="s">
        <v>415</v>
      </c>
      <c r="E31" s="16" t="s">
        <v>13</v>
      </c>
      <c r="F31" s="16" t="s">
        <v>8</v>
      </c>
      <c r="G31" s="26">
        <v>0</v>
      </c>
      <c r="H31" s="26">
        <f t="shared" si="0"/>
        <v>0</v>
      </c>
      <c r="I31" s="55"/>
    </row>
    <row r="32" spans="1:9" s="14" customFormat="1" ht="72">
      <c r="A32" s="15" t="s">
        <v>416</v>
      </c>
      <c r="B32" s="15" t="s">
        <v>349</v>
      </c>
      <c r="C32" s="15" t="s">
        <v>364</v>
      </c>
      <c r="D32" s="15" t="s">
        <v>417</v>
      </c>
      <c r="E32" s="16" t="s">
        <v>13</v>
      </c>
      <c r="F32" s="16" t="s">
        <v>8</v>
      </c>
      <c r="G32" s="26">
        <v>0</v>
      </c>
      <c r="H32" s="26">
        <f t="shared" si="0"/>
        <v>0</v>
      </c>
      <c r="I32" s="55"/>
    </row>
    <row r="33" spans="1:9" s="14" customFormat="1" ht="24">
      <c r="A33" s="15" t="s">
        <v>418</v>
      </c>
      <c r="B33" s="15" t="s">
        <v>349</v>
      </c>
      <c r="C33" s="15" t="s">
        <v>364</v>
      </c>
      <c r="D33" s="15" t="s">
        <v>419</v>
      </c>
      <c r="E33" s="16" t="s">
        <v>13</v>
      </c>
      <c r="F33" s="16" t="s">
        <v>8</v>
      </c>
      <c r="G33" s="26">
        <v>0</v>
      </c>
      <c r="H33" s="26">
        <f t="shared" si="0"/>
        <v>0</v>
      </c>
      <c r="I33" s="55"/>
    </row>
    <row r="34" spans="1:9" s="14" customFormat="1" ht="24">
      <c r="A34" s="15" t="s">
        <v>420</v>
      </c>
      <c r="B34" s="15" t="s">
        <v>349</v>
      </c>
      <c r="C34" s="15" t="s">
        <v>379</v>
      </c>
      <c r="D34" s="15" t="s">
        <v>421</v>
      </c>
      <c r="E34" s="16" t="s">
        <v>386</v>
      </c>
      <c r="F34" s="16" t="s">
        <v>150</v>
      </c>
      <c r="G34" s="26">
        <v>52.5</v>
      </c>
      <c r="H34" s="26">
        <f t="shared" ref="H34:H65" si="1">F34*G34</f>
        <v>2625</v>
      </c>
      <c r="I34" s="55"/>
    </row>
    <row r="35" spans="1:9" s="14" customFormat="1" ht="24">
      <c r="A35" s="15" t="s">
        <v>422</v>
      </c>
      <c r="B35" s="15" t="s">
        <v>349</v>
      </c>
      <c r="C35" s="15" t="s">
        <v>379</v>
      </c>
      <c r="D35" s="15" t="s">
        <v>423</v>
      </c>
      <c r="E35" s="16" t="s">
        <v>386</v>
      </c>
      <c r="F35" s="16" t="s">
        <v>67</v>
      </c>
      <c r="G35" s="26">
        <v>31.5</v>
      </c>
      <c r="H35" s="26">
        <f t="shared" si="1"/>
        <v>630</v>
      </c>
      <c r="I35" s="55"/>
    </row>
    <row r="36" spans="1:9" s="14" customFormat="1" ht="24">
      <c r="A36" s="15" t="s">
        <v>424</v>
      </c>
      <c r="B36" s="15" t="s">
        <v>349</v>
      </c>
      <c r="C36" s="15" t="s">
        <v>379</v>
      </c>
      <c r="D36" s="15" t="s">
        <v>425</v>
      </c>
      <c r="E36" s="16" t="s">
        <v>386</v>
      </c>
      <c r="F36" s="16" t="s">
        <v>150</v>
      </c>
      <c r="G36" s="26">
        <v>21</v>
      </c>
      <c r="H36" s="26">
        <f t="shared" si="1"/>
        <v>1050</v>
      </c>
      <c r="I36" s="55"/>
    </row>
    <row r="37" spans="1:9" s="14" customFormat="1" ht="24">
      <c r="A37" s="15" t="s">
        <v>426</v>
      </c>
      <c r="B37" s="15" t="s">
        <v>349</v>
      </c>
      <c r="C37" s="15" t="s">
        <v>379</v>
      </c>
      <c r="D37" s="15" t="s">
        <v>427</v>
      </c>
      <c r="E37" s="16" t="s">
        <v>386</v>
      </c>
      <c r="F37" s="16" t="s">
        <v>94</v>
      </c>
      <c r="G37" s="26">
        <v>21</v>
      </c>
      <c r="H37" s="26">
        <f t="shared" si="1"/>
        <v>630</v>
      </c>
      <c r="I37" s="55"/>
    </row>
    <row r="38" spans="1:9" s="14" customFormat="1" ht="24">
      <c r="A38" s="15" t="s">
        <v>428</v>
      </c>
      <c r="B38" s="15" t="s">
        <v>349</v>
      </c>
      <c r="C38" s="15" t="s">
        <v>379</v>
      </c>
      <c r="D38" s="15" t="s">
        <v>429</v>
      </c>
      <c r="E38" s="16" t="s">
        <v>386</v>
      </c>
      <c r="F38" s="16" t="s">
        <v>94</v>
      </c>
      <c r="G38" s="26">
        <v>10.5</v>
      </c>
      <c r="H38" s="26">
        <f t="shared" si="1"/>
        <v>315</v>
      </c>
      <c r="I38" s="55"/>
    </row>
    <row r="39" spans="1:9" s="14" customFormat="1" ht="24">
      <c r="A39" s="15" t="s">
        <v>430</v>
      </c>
      <c r="B39" s="15" t="s">
        <v>349</v>
      </c>
      <c r="C39" s="15" t="s">
        <v>379</v>
      </c>
      <c r="D39" s="15" t="s">
        <v>431</v>
      </c>
      <c r="E39" s="16" t="s">
        <v>386</v>
      </c>
      <c r="F39" s="16" t="s">
        <v>94</v>
      </c>
      <c r="G39" s="26">
        <v>10.5</v>
      </c>
      <c r="H39" s="26">
        <f t="shared" si="1"/>
        <v>315</v>
      </c>
      <c r="I39" s="55"/>
    </row>
    <row r="40" spans="1:9" s="14" customFormat="1" ht="24">
      <c r="A40" s="15" t="s">
        <v>432</v>
      </c>
      <c r="B40" s="15" t="s">
        <v>349</v>
      </c>
      <c r="C40" s="15" t="s">
        <v>379</v>
      </c>
      <c r="D40" s="15" t="s">
        <v>433</v>
      </c>
      <c r="E40" s="16" t="s">
        <v>386</v>
      </c>
      <c r="F40" s="16" t="s">
        <v>150</v>
      </c>
      <c r="G40" s="26">
        <v>31.5</v>
      </c>
      <c r="H40" s="26">
        <f t="shared" si="1"/>
        <v>1575</v>
      </c>
      <c r="I40" s="55"/>
    </row>
    <row r="41" spans="1:9" s="14" customFormat="1" ht="24">
      <c r="A41" s="15" t="s">
        <v>434</v>
      </c>
      <c r="B41" s="15" t="s">
        <v>349</v>
      </c>
      <c r="C41" s="15" t="s">
        <v>379</v>
      </c>
      <c r="D41" s="15" t="s">
        <v>435</v>
      </c>
      <c r="E41" s="16" t="s">
        <v>386</v>
      </c>
      <c r="F41" s="16" t="s">
        <v>120</v>
      </c>
      <c r="G41" s="26">
        <v>52.5</v>
      </c>
      <c r="H41" s="26">
        <f t="shared" si="1"/>
        <v>2100</v>
      </c>
      <c r="I41" s="55"/>
    </row>
    <row r="42" spans="1:9" s="14" customFormat="1" ht="24">
      <c r="A42" s="15" t="s">
        <v>436</v>
      </c>
      <c r="B42" s="15" t="s">
        <v>349</v>
      </c>
      <c r="C42" s="15" t="s">
        <v>379</v>
      </c>
      <c r="D42" s="15" t="s">
        <v>437</v>
      </c>
      <c r="E42" s="16" t="s">
        <v>386</v>
      </c>
      <c r="F42" s="16" t="s">
        <v>120</v>
      </c>
      <c r="G42" s="26">
        <v>21</v>
      </c>
      <c r="H42" s="26">
        <f t="shared" si="1"/>
        <v>840</v>
      </c>
      <c r="I42" s="55"/>
    </row>
    <row r="43" spans="1:9" s="14" customFormat="1" ht="24">
      <c r="A43" s="15" t="s">
        <v>438</v>
      </c>
      <c r="B43" s="15" t="s">
        <v>349</v>
      </c>
      <c r="C43" s="15" t="s">
        <v>379</v>
      </c>
      <c r="D43" s="15" t="s">
        <v>439</v>
      </c>
      <c r="E43" s="16" t="s">
        <v>386</v>
      </c>
      <c r="F43" s="16" t="s">
        <v>120</v>
      </c>
      <c r="G43" s="26">
        <v>31.5</v>
      </c>
      <c r="H43" s="26">
        <f t="shared" si="1"/>
        <v>1260</v>
      </c>
      <c r="I43" s="55"/>
    </row>
    <row r="44" spans="1:9" s="14" customFormat="1" ht="24">
      <c r="A44" s="15" t="s">
        <v>440</v>
      </c>
      <c r="B44" s="15" t="s">
        <v>349</v>
      </c>
      <c r="C44" s="15" t="s">
        <v>379</v>
      </c>
      <c r="D44" s="15" t="s">
        <v>441</v>
      </c>
      <c r="E44" s="16" t="s">
        <v>386</v>
      </c>
      <c r="F44" s="16" t="s">
        <v>67</v>
      </c>
      <c r="G44" s="26">
        <v>31.5</v>
      </c>
      <c r="H44" s="26">
        <f t="shared" si="1"/>
        <v>630</v>
      </c>
      <c r="I44" s="55"/>
    </row>
    <row r="45" spans="1:9" s="14" customFormat="1" ht="24">
      <c r="A45" s="15" t="s">
        <v>442</v>
      </c>
      <c r="B45" s="15" t="s">
        <v>349</v>
      </c>
      <c r="C45" s="15" t="s">
        <v>379</v>
      </c>
      <c r="D45" s="15" t="s">
        <v>443</v>
      </c>
      <c r="E45" s="16" t="s">
        <v>386</v>
      </c>
      <c r="F45" s="16" t="s">
        <v>67</v>
      </c>
      <c r="G45" s="26">
        <v>42</v>
      </c>
      <c r="H45" s="26">
        <f t="shared" si="1"/>
        <v>840</v>
      </c>
      <c r="I45" s="55"/>
    </row>
    <row r="46" spans="1:9" s="14" customFormat="1" ht="24">
      <c r="A46" s="15" t="s">
        <v>444</v>
      </c>
      <c r="B46" s="15" t="s">
        <v>349</v>
      </c>
      <c r="C46" s="15" t="s">
        <v>379</v>
      </c>
      <c r="D46" s="15" t="s">
        <v>445</v>
      </c>
      <c r="E46" s="16" t="s">
        <v>386</v>
      </c>
      <c r="F46" s="16" t="s">
        <v>81</v>
      </c>
      <c r="G46" s="26">
        <v>52.5</v>
      </c>
      <c r="H46" s="26">
        <f t="shared" si="1"/>
        <v>1312.5</v>
      </c>
      <c r="I46" s="55"/>
    </row>
    <row r="47" spans="1:9" s="14" customFormat="1" ht="24">
      <c r="A47" s="15" t="s">
        <v>446</v>
      </c>
      <c r="B47" s="15" t="s">
        <v>349</v>
      </c>
      <c r="C47" s="15" t="s">
        <v>379</v>
      </c>
      <c r="D47" s="15" t="s">
        <v>447</v>
      </c>
      <c r="E47" s="16" t="s">
        <v>386</v>
      </c>
      <c r="F47" s="16" t="s">
        <v>81</v>
      </c>
      <c r="G47" s="26">
        <v>42</v>
      </c>
      <c r="H47" s="26">
        <f t="shared" si="1"/>
        <v>1050</v>
      </c>
      <c r="I47" s="55"/>
    </row>
    <row r="48" spans="1:9" s="14" customFormat="1" ht="24">
      <c r="A48" s="15" t="s">
        <v>448</v>
      </c>
      <c r="B48" s="15" t="s">
        <v>349</v>
      </c>
      <c r="C48" s="15" t="s">
        <v>379</v>
      </c>
      <c r="D48" s="15" t="s">
        <v>449</v>
      </c>
      <c r="E48" s="16" t="s">
        <v>386</v>
      </c>
      <c r="F48" s="16" t="s">
        <v>81</v>
      </c>
      <c r="G48" s="26">
        <v>52.5</v>
      </c>
      <c r="H48" s="26">
        <f t="shared" si="1"/>
        <v>1312.5</v>
      </c>
      <c r="I48" s="55"/>
    </row>
    <row r="49" spans="1:9" s="14" customFormat="1" ht="24">
      <c r="A49" s="15" t="s">
        <v>450</v>
      </c>
      <c r="B49" s="15" t="s">
        <v>349</v>
      </c>
      <c r="C49" s="15" t="s">
        <v>379</v>
      </c>
      <c r="D49" s="15" t="s">
        <v>451</v>
      </c>
      <c r="E49" s="16" t="s">
        <v>386</v>
      </c>
      <c r="F49" s="16" t="s">
        <v>81</v>
      </c>
      <c r="G49" s="26">
        <v>52.5</v>
      </c>
      <c r="H49" s="26">
        <f t="shared" si="1"/>
        <v>1312.5</v>
      </c>
      <c r="I49" s="55"/>
    </row>
    <row r="50" spans="1:9" s="14" customFormat="1" ht="24">
      <c r="A50" s="15" t="s">
        <v>452</v>
      </c>
      <c r="B50" s="15" t="s">
        <v>349</v>
      </c>
      <c r="C50" s="15" t="s">
        <v>379</v>
      </c>
      <c r="D50" s="15" t="s">
        <v>453</v>
      </c>
      <c r="E50" s="16" t="s">
        <v>386</v>
      </c>
      <c r="F50" s="16" t="s">
        <v>81</v>
      </c>
      <c r="G50" s="26">
        <v>42</v>
      </c>
      <c r="H50" s="26">
        <f t="shared" si="1"/>
        <v>1050</v>
      </c>
      <c r="I50" s="55"/>
    </row>
    <row r="51" spans="1:9" s="14" customFormat="1" ht="24">
      <c r="A51" s="15" t="s">
        <v>454</v>
      </c>
      <c r="B51" s="15" t="s">
        <v>349</v>
      </c>
      <c r="C51" s="15" t="s">
        <v>379</v>
      </c>
      <c r="D51" s="15" t="s">
        <v>455</v>
      </c>
      <c r="E51" s="16" t="s">
        <v>386</v>
      </c>
      <c r="F51" s="16" t="s">
        <v>81</v>
      </c>
      <c r="G51" s="26">
        <v>31.5</v>
      </c>
      <c r="H51" s="26">
        <f t="shared" si="1"/>
        <v>787.5</v>
      </c>
      <c r="I51" s="56">
        <f>SUM(H2:H51)</f>
        <v>24675</v>
      </c>
    </row>
    <row r="52" spans="1:9" s="14" customFormat="1" ht="24">
      <c r="A52" s="15" t="s">
        <v>456</v>
      </c>
      <c r="B52" s="15" t="s">
        <v>349</v>
      </c>
      <c r="C52" s="15" t="s">
        <v>379</v>
      </c>
      <c r="D52" s="15" t="s">
        <v>457</v>
      </c>
      <c r="E52" s="16" t="s">
        <v>386</v>
      </c>
      <c r="F52" s="16" t="s">
        <v>81</v>
      </c>
      <c r="G52" s="26">
        <v>31.5</v>
      </c>
      <c r="H52" s="26">
        <f t="shared" si="1"/>
        <v>787.5</v>
      </c>
      <c r="I52" s="55"/>
    </row>
    <row r="53" spans="1:9" s="14" customFormat="1" ht="24">
      <c r="A53" s="15" t="s">
        <v>458</v>
      </c>
      <c r="B53" s="15" t="s">
        <v>349</v>
      </c>
      <c r="C53" s="15" t="s">
        <v>379</v>
      </c>
      <c r="D53" s="15" t="s">
        <v>459</v>
      </c>
      <c r="E53" s="16" t="s">
        <v>386</v>
      </c>
      <c r="F53" s="16" t="s">
        <v>94</v>
      </c>
      <c r="G53" s="26">
        <v>26.25</v>
      </c>
      <c r="H53" s="26">
        <f t="shared" si="1"/>
        <v>787.5</v>
      </c>
      <c r="I53" s="55"/>
    </row>
    <row r="54" spans="1:9" s="14" customFormat="1" ht="24">
      <c r="A54" s="15" t="s">
        <v>460</v>
      </c>
      <c r="B54" s="15" t="s">
        <v>349</v>
      </c>
      <c r="C54" s="15" t="s">
        <v>379</v>
      </c>
      <c r="D54" s="15" t="s">
        <v>461</v>
      </c>
      <c r="E54" s="16" t="s">
        <v>386</v>
      </c>
      <c r="F54" s="16" t="s">
        <v>94</v>
      </c>
      <c r="G54" s="26">
        <v>36.75</v>
      </c>
      <c r="H54" s="26">
        <f t="shared" si="1"/>
        <v>1102.5</v>
      </c>
      <c r="I54" s="55"/>
    </row>
    <row r="55" spans="1:9" s="14" customFormat="1" ht="24">
      <c r="A55" s="15" t="s">
        <v>462</v>
      </c>
      <c r="B55" s="15" t="s">
        <v>349</v>
      </c>
      <c r="C55" s="15" t="s">
        <v>463</v>
      </c>
      <c r="D55" s="15" t="s">
        <v>464</v>
      </c>
      <c r="E55" s="16" t="s">
        <v>386</v>
      </c>
      <c r="F55" s="16" t="s">
        <v>387</v>
      </c>
      <c r="G55" s="26">
        <v>42</v>
      </c>
      <c r="H55" s="26">
        <f t="shared" si="1"/>
        <v>8400</v>
      </c>
      <c r="I55" s="55"/>
    </row>
    <row r="56" spans="1:9" s="14" customFormat="1" ht="24">
      <c r="A56" s="15" t="s">
        <v>465</v>
      </c>
      <c r="B56" s="15" t="s">
        <v>349</v>
      </c>
      <c r="C56" s="15" t="s">
        <v>463</v>
      </c>
      <c r="D56" s="15" t="s">
        <v>466</v>
      </c>
      <c r="E56" s="16" t="s">
        <v>386</v>
      </c>
      <c r="F56" s="16" t="s">
        <v>387</v>
      </c>
      <c r="G56" s="26">
        <v>26.25</v>
      </c>
      <c r="H56" s="26">
        <f t="shared" si="1"/>
        <v>5250</v>
      </c>
      <c r="I56" s="55"/>
    </row>
    <row r="57" spans="1:9" s="14" customFormat="1" ht="24">
      <c r="A57" s="15" t="s">
        <v>467</v>
      </c>
      <c r="B57" s="15" t="s">
        <v>349</v>
      </c>
      <c r="C57" s="15" t="s">
        <v>463</v>
      </c>
      <c r="D57" s="15" t="s">
        <v>468</v>
      </c>
      <c r="E57" s="16" t="s">
        <v>386</v>
      </c>
      <c r="F57" s="16" t="s">
        <v>387</v>
      </c>
      <c r="G57" s="26">
        <v>26.25</v>
      </c>
      <c r="H57" s="26">
        <f t="shared" si="1"/>
        <v>5250</v>
      </c>
      <c r="I57" s="55"/>
    </row>
    <row r="58" spans="1:9" s="14" customFormat="1" ht="24">
      <c r="A58" s="15" t="s">
        <v>469</v>
      </c>
      <c r="B58" s="15" t="s">
        <v>349</v>
      </c>
      <c r="C58" s="15" t="s">
        <v>463</v>
      </c>
      <c r="D58" s="15" t="s">
        <v>470</v>
      </c>
      <c r="E58" s="16" t="s">
        <v>386</v>
      </c>
      <c r="F58" s="16" t="s">
        <v>387</v>
      </c>
      <c r="G58" s="26">
        <v>26.25</v>
      </c>
      <c r="H58" s="26">
        <f t="shared" si="1"/>
        <v>5250</v>
      </c>
      <c r="I58" s="55"/>
    </row>
    <row r="59" spans="1:9" s="14" customFormat="1" ht="24">
      <c r="A59" s="15" t="s">
        <v>471</v>
      </c>
      <c r="B59" s="15" t="s">
        <v>349</v>
      </c>
      <c r="C59" s="15" t="s">
        <v>463</v>
      </c>
      <c r="D59" s="15" t="s">
        <v>472</v>
      </c>
      <c r="E59" s="16" t="s">
        <v>386</v>
      </c>
      <c r="F59" s="16" t="s">
        <v>387</v>
      </c>
      <c r="G59" s="26">
        <v>26.25</v>
      </c>
      <c r="H59" s="26">
        <f t="shared" si="1"/>
        <v>5250</v>
      </c>
      <c r="I59" s="55"/>
    </row>
    <row r="60" spans="1:9" s="14" customFormat="1" ht="24">
      <c r="A60" s="15" t="s">
        <v>473</v>
      </c>
      <c r="B60" s="15" t="s">
        <v>349</v>
      </c>
      <c r="C60" s="15" t="s">
        <v>463</v>
      </c>
      <c r="D60" s="15" t="s">
        <v>474</v>
      </c>
      <c r="E60" s="16" t="s">
        <v>386</v>
      </c>
      <c r="F60" s="16" t="s">
        <v>387</v>
      </c>
      <c r="G60" s="26">
        <v>26.25</v>
      </c>
      <c r="H60" s="26">
        <f t="shared" si="1"/>
        <v>5250</v>
      </c>
      <c r="I60" s="55"/>
    </row>
    <row r="61" spans="1:9" s="14" customFormat="1" ht="24">
      <c r="A61" s="15" t="s">
        <v>475</v>
      </c>
      <c r="B61" s="15" t="s">
        <v>349</v>
      </c>
      <c r="C61" s="15" t="s">
        <v>463</v>
      </c>
      <c r="D61" s="15" t="s">
        <v>476</v>
      </c>
      <c r="E61" s="16" t="s">
        <v>386</v>
      </c>
      <c r="F61" s="16" t="s">
        <v>387</v>
      </c>
      <c r="G61" s="26">
        <v>26.25</v>
      </c>
      <c r="H61" s="26">
        <f t="shared" si="1"/>
        <v>5250</v>
      </c>
      <c r="I61" s="55"/>
    </row>
    <row r="62" spans="1:9" s="14" customFormat="1" ht="24">
      <c r="A62" s="15" t="s">
        <v>477</v>
      </c>
      <c r="B62" s="15" t="s">
        <v>349</v>
      </c>
      <c r="C62" s="15" t="s">
        <v>463</v>
      </c>
      <c r="D62" s="15" t="s">
        <v>478</v>
      </c>
      <c r="E62" s="16" t="s">
        <v>386</v>
      </c>
      <c r="F62" s="16" t="s">
        <v>387</v>
      </c>
      <c r="G62" s="26">
        <v>26.25</v>
      </c>
      <c r="H62" s="26">
        <f t="shared" si="1"/>
        <v>5250</v>
      </c>
      <c r="I62" s="55"/>
    </row>
    <row r="63" spans="1:9" s="14" customFormat="1" ht="24">
      <c r="A63" s="15" t="s">
        <v>479</v>
      </c>
      <c r="B63" s="15" t="s">
        <v>349</v>
      </c>
      <c r="C63" s="15" t="s">
        <v>463</v>
      </c>
      <c r="D63" s="15" t="s">
        <v>480</v>
      </c>
      <c r="E63" s="16" t="s">
        <v>386</v>
      </c>
      <c r="F63" s="16" t="s">
        <v>387</v>
      </c>
      <c r="G63" s="26">
        <v>26.25</v>
      </c>
      <c r="H63" s="26">
        <f t="shared" si="1"/>
        <v>5250</v>
      </c>
      <c r="I63" s="55"/>
    </row>
    <row r="64" spans="1:9" s="14" customFormat="1" ht="24">
      <c r="A64" s="15" t="s">
        <v>481</v>
      </c>
      <c r="B64" s="15" t="s">
        <v>349</v>
      </c>
      <c r="C64" s="15" t="s">
        <v>463</v>
      </c>
      <c r="D64" s="15" t="s">
        <v>482</v>
      </c>
      <c r="E64" s="16" t="s">
        <v>386</v>
      </c>
      <c r="F64" s="16" t="s">
        <v>387</v>
      </c>
      <c r="G64" s="26">
        <v>26.25</v>
      </c>
      <c r="H64" s="26">
        <f t="shared" si="1"/>
        <v>5250</v>
      </c>
      <c r="I64" s="55"/>
    </row>
    <row r="65" spans="1:9" s="14" customFormat="1" ht="24">
      <c r="A65" s="15" t="s">
        <v>483</v>
      </c>
      <c r="B65" s="15" t="s">
        <v>349</v>
      </c>
      <c r="C65" s="15" t="s">
        <v>463</v>
      </c>
      <c r="D65" s="15" t="s">
        <v>484</v>
      </c>
      <c r="E65" s="16" t="s">
        <v>386</v>
      </c>
      <c r="F65" s="16" t="s">
        <v>387</v>
      </c>
      <c r="G65" s="26">
        <v>15.75</v>
      </c>
      <c r="H65" s="26">
        <f t="shared" si="1"/>
        <v>3150</v>
      </c>
      <c r="I65" s="55"/>
    </row>
    <row r="66" spans="1:9" s="14" customFormat="1" ht="24">
      <c r="A66" s="15" t="s">
        <v>485</v>
      </c>
      <c r="B66" s="15" t="s">
        <v>349</v>
      </c>
      <c r="C66" s="15" t="s">
        <v>463</v>
      </c>
      <c r="D66" s="15" t="s">
        <v>486</v>
      </c>
      <c r="E66" s="16" t="s">
        <v>386</v>
      </c>
      <c r="F66" s="16" t="s">
        <v>387</v>
      </c>
      <c r="G66" s="26">
        <v>10.5</v>
      </c>
      <c r="H66" s="26">
        <f t="shared" ref="H66:H97" si="2">F66*G66</f>
        <v>2100</v>
      </c>
      <c r="I66" s="55"/>
    </row>
    <row r="67" spans="1:9" s="14" customFormat="1" ht="96">
      <c r="A67" s="15" t="s">
        <v>195</v>
      </c>
      <c r="B67" s="15" t="s">
        <v>152</v>
      </c>
      <c r="C67" s="15" t="s">
        <v>196</v>
      </c>
      <c r="D67" s="15" t="s">
        <v>197</v>
      </c>
      <c r="E67" s="16" t="s">
        <v>13</v>
      </c>
      <c r="F67" s="16" t="s">
        <v>8</v>
      </c>
      <c r="G67" s="26">
        <v>0</v>
      </c>
      <c r="H67" s="26">
        <f t="shared" si="2"/>
        <v>0</v>
      </c>
      <c r="I67" s="55"/>
    </row>
    <row r="68" spans="1:9" s="14" customFormat="1" ht="60">
      <c r="A68" s="15" t="s">
        <v>198</v>
      </c>
      <c r="B68" s="15" t="s">
        <v>152</v>
      </c>
      <c r="C68" s="15" t="s">
        <v>196</v>
      </c>
      <c r="D68" s="15" t="s">
        <v>199</v>
      </c>
      <c r="E68" s="16" t="s">
        <v>13</v>
      </c>
      <c r="F68" s="16" t="s">
        <v>8</v>
      </c>
      <c r="G68" s="26">
        <v>0</v>
      </c>
      <c r="H68" s="26">
        <f t="shared" si="2"/>
        <v>0</v>
      </c>
      <c r="I68" s="55"/>
    </row>
    <row r="69" spans="1:9" s="14" customFormat="1" ht="60">
      <c r="A69" s="15" t="s">
        <v>200</v>
      </c>
      <c r="B69" s="15" t="s">
        <v>201</v>
      </c>
      <c r="C69" s="15" t="s">
        <v>202</v>
      </c>
      <c r="D69" s="15" t="s">
        <v>203</v>
      </c>
      <c r="E69" s="16" t="s">
        <v>13</v>
      </c>
      <c r="F69" s="16" t="s">
        <v>8</v>
      </c>
      <c r="G69" s="26">
        <v>0</v>
      </c>
      <c r="H69" s="26">
        <f t="shared" si="2"/>
        <v>0</v>
      </c>
      <c r="I69" s="55"/>
    </row>
    <row r="70" spans="1:9" s="14" customFormat="1" ht="72">
      <c r="A70" s="15" t="s">
        <v>204</v>
      </c>
      <c r="B70" s="15" t="s">
        <v>201</v>
      </c>
      <c r="C70" s="15" t="s">
        <v>205</v>
      </c>
      <c r="D70" s="15" t="s">
        <v>206</v>
      </c>
      <c r="E70" s="16" t="s">
        <v>13</v>
      </c>
      <c r="F70" s="16" t="s">
        <v>8</v>
      </c>
      <c r="G70" s="26">
        <v>0</v>
      </c>
      <c r="H70" s="26">
        <f t="shared" si="2"/>
        <v>0</v>
      </c>
      <c r="I70" s="55"/>
    </row>
    <row r="71" spans="1:9" s="14" customFormat="1" ht="60">
      <c r="A71" s="15" t="s">
        <v>207</v>
      </c>
      <c r="B71" s="15" t="s">
        <v>208</v>
      </c>
      <c r="C71" s="15" t="s">
        <v>209</v>
      </c>
      <c r="D71" s="15" t="s">
        <v>210</v>
      </c>
      <c r="E71" s="16" t="s">
        <v>13</v>
      </c>
      <c r="F71" s="16" t="s">
        <v>8</v>
      </c>
      <c r="G71" s="26">
        <v>0</v>
      </c>
      <c r="H71" s="26">
        <f t="shared" si="2"/>
        <v>0</v>
      </c>
      <c r="I71" s="55"/>
    </row>
    <row r="72" spans="1:9" s="14" customFormat="1" ht="48">
      <c r="A72" s="15" t="s">
        <v>211</v>
      </c>
      <c r="B72" s="15" t="s">
        <v>208</v>
      </c>
      <c r="C72" s="15" t="s">
        <v>212</v>
      </c>
      <c r="D72" s="15" t="s">
        <v>213</v>
      </c>
      <c r="E72" s="16" t="s">
        <v>13</v>
      </c>
      <c r="F72" s="16" t="s">
        <v>8</v>
      </c>
      <c r="G72" s="26">
        <v>0</v>
      </c>
      <c r="H72" s="26">
        <f t="shared" si="2"/>
        <v>0</v>
      </c>
      <c r="I72" s="55"/>
    </row>
    <row r="73" spans="1:9" s="14" customFormat="1" ht="48">
      <c r="A73" s="15" t="s">
        <v>214</v>
      </c>
      <c r="B73" s="15" t="s">
        <v>208</v>
      </c>
      <c r="C73" s="15" t="s">
        <v>215</v>
      </c>
      <c r="D73" s="15" t="s">
        <v>216</v>
      </c>
      <c r="E73" s="16" t="s">
        <v>13</v>
      </c>
      <c r="F73" s="16" t="s">
        <v>8</v>
      </c>
      <c r="G73" s="26">
        <v>0</v>
      </c>
      <c r="H73" s="26">
        <f t="shared" si="2"/>
        <v>0</v>
      </c>
      <c r="I73" s="55"/>
    </row>
    <row r="74" spans="1:9" s="14" customFormat="1" ht="48">
      <c r="A74" s="15" t="s">
        <v>217</v>
      </c>
      <c r="B74" s="15" t="s">
        <v>208</v>
      </c>
      <c r="C74" s="15" t="s">
        <v>218</v>
      </c>
      <c r="D74" s="15" t="s">
        <v>219</v>
      </c>
      <c r="E74" s="16" t="s">
        <v>13</v>
      </c>
      <c r="F74" s="16" t="s">
        <v>8</v>
      </c>
      <c r="G74" s="26">
        <v>0</v>
      </c>
      <c r="H74" s="26">
        <f t="shared" si="2"/>
        <v>0</v>
      </c>
      <c r="I74" s="55"/>
    </row>
    <row r="75" spans="1:9" s="14" customFormat="1" ht="60">
      <c r="A75" s="15" t="s">
        <v>220</v>
      </c>
      <c r="B75" s="15" t="s">
        <v>208</v>
      </c>
      <c r="C75" s="15" t="s">
        <v>221</v>
      </c>
      <c r="D75" s="15" t="s">
        <v>222</v>
      </c>
      <c r="E75" s="16" t="s">
        <v>13</v>
      </c>
      <c r="F75" s="16" t="s">
        <v>8</v>
      </c>
      <c r="G75" s="26">
        <v>0</v>
      </c>
      <c r="H75" s="26">
        <f t="shared" si="2"/>
        <v>0</v>
      </c>
      <c r="I75" s="55"/>
    </row>
    <row r="76" spans="1:9" s="14" customFormat="1" ht="84">
      <c r="A76" s="15" t="s">
        <v>223</v>
      </c>
      <c r="B76" s="15" t="s">
        <v>208</v>
      </c>
      <c r="C76" s="15" t="s">
        <v>224</v>
      </c>
      <c r="D76" s="15" t="s">
        <v>225</v>
      </c>
      <c r="E76" s="16" t="s">
        <v>13</v>
      </c>
      <c r="F76" s="16" t="s">
        <v>8</v>
      </c>
      <c r="G76" s="26">
        <v>0</v>
      </c>
      <c r="H76" s="26">
        <f t="shared" si="2"/>
        <v>0</v>
      </c>
      <c r="I76" s="55"/>
    </row>
    <row r="77" spans="1:9" s="14" customFormat="1" ht="84">
      <c r="A77" s="15" t="s">
        <v>226</v>
      </c>
      <c r="B77" s="15" t="s">
        <v>208</v>
      </c>
      <c r="C77" s="15" t="s">
        <v>227</v>
      </c>
      <c r="D77" s="15" t="s">
        <v>228</v>
      </c>
      <c r="E77" s="16" t="s">
        <v>13</v>
      </c>
      <c r="F77" s="16" t="s">
        <v>8</v>
      </c>
      <c r="G77" s="26">
        <v>0</v>
      </c>
      <c r="H77" s="26">
        <f t="shared" si="2"/>
        <v>0</v>
      </c>
      <c r="I77" s="55"/>
    </row>
    <row r="78" spans="1:9" s="14" customFormat="1" ht="36">
      <c r="A78" s="15" t="s">
        <v>229</v>
      </c>
      <c r="B78" s="15" t="s">
        <v>208</v>
      </c>
      <c r="C78" s="15" t="s">
        <v>230</v>
      </c>
      <c r="D78" s="15" t="s">
        <v>231</v>
      </c>
      <c r="E78" s="16" t="s">
        <v>13</v>
      </c>
      <c r="F78" s="16" t="s">
        <v>8</v>
      </c>
      <c r="G78" s="26">
        <v>0</v>
      </c>
      <c r="H78" s="26">
        <f t="shared" si="2"/>
        <v>0</v>
      </c>
      <c r="I78" s="55"/>
    </row>
    <row r="79" spans="1:9" s="14" customFormat="1" ht="84">
      <c r="A79" s="15" t="s">
        <v>232</v>
      </c>
      <c r="B79" s="15" t="s">
        <v>208</v>
      </c>
      <c r="C79" s="15" t="s">
        <v>233</v>
      </c>
      <c r="D79" s="15" t="s">
        <v>234</v>
      </c>
      <c r="E79" s="16" t="s">
        <v>13</v>
      </c>
      <c r="F79" s="16" t="s">
        <v>8</v>
      </c>
      <c r="G79" s="26">
        <v>0</v>
      </c>
      <c r="H79" s="26">
        <f t="shared" si="2"/>
        <v>0</v>
      </c>
      <c r="I79" s="55"/>
    </row>
    <row r="80" spans="1:9" s="14" customFormat="1" ht="36">
      <c r="A80" s="15" t="s">
        <v>235</v>
      </c>
      <c r="B80" s="15" t="s">
        <v>208</v>
      </c>
      <c r="C80" s="15" t="s">
        <v>236</v>
      </c>
      <c r="D80" s="15" t="s">
        <v>237</v>
      </c>
      <c r="E80" s="16" t="s">
        <v>13</v>
      </c>
      <c r="F80" s="16" t="s">
        <v>8</v>
      </c>
      <c r="G80" s="26">
        <v>0</v>
      </c>
      <c r="H80" s="26">
        <f t="shared" si="2"/>
        <v>0</v>
      </c>
      <c r="I80" s="55"/>
    </row>
    <row r="81" spans="1:9" s="14" customFormat="1" ht="36">
      <c r="A81" s="15" t="s">
        <v>239</v>
      </c>
      <c r="B81" s="15" t="s">
        <v>208</v>
      </c>
      <c r="C81" s="15" t="s">
        <v>236</v>
      </c>
      <c r="D81" s="15" t="s">
        <v>240</v>
      </c>
      <c r="E81" s="16" t="s">
        <v>13</v>
      </c>
      <c r="F81" s="16" t="s">
        <v>8</v>
      </c>
      <c r="G81" s="26">
        <v>0</v>
      </c>
      <c r="H81" s="26">
        <f t="shared" si="2"/>
        <v>0</v>
      </c>
      <c r="I81" s="55"/>
    </row>
    <row r="82" spans="1:9" s="14" customFormat="1" ht="72">
      <c r="A82" s="15" t="s">
        <v>241</v>
      </c>
      <c r="B82" s="15" t="s">
        <v>208</v>
      </c>
      <c r="C82" s="15" t="s">
        <v>242</v>
      </c>
      <c r="D82" s="15" t="s">
        <v>243</v>
      </c>
      <c r="E82" s="16" t="s">
        <v>13</v>
      </c>
      <c r="F82" s="16" t="s">
        <v>8</v>
      </c>
      <c r="G82" s="26">
        <v>0</v>
      </c>
      <c r="H82" s="26">
        <f t="shared" si="2"/>
        <v>0</v>
      </c>
      <c r="I82" s="55"/>
    </row>
    <row r="83" spans="1:9" s="14" customFormat="1" ht="48">
      <c r="A83" s="15" t="s">
        <v>244</v>
      </c>
      <c r="B83" s="15" t="s">
        <v>208</v>
      </c>
      <c r="C83" s="15" t="s">
        <v>242</v>
      </c>
      <c r="D83" s="15" t="s">
        <v>245</v>
      </c>
      <c r="E83" s="16" t="s">
        <v>13</v>
      </c>
      <c r="F83" s="16" t="s">
        <v>8</v>
      </c>
      <c r="G83" s="26">
        <v>0</v>
      </c>
      <c r="H83" s="26">
        <f t="shared" si="2"/>
        <v>0</v>
      </c>
      <c r="I83" s="55"/>
    </row>
    <row r="84" spans="1:9" s="14" customFormat="1" ht="36">
      <c r="A84" s="15" t="s">
        <v>246</v>
      </c>
      <c r="B84" s="15" t="s">
        <v>208</v>
      </c>
      <c r="C84" s="15" t="s">
        <v>247</v>
      </c>
      <c r="D84" s="15" t="s">
        <v>248</v>
      </c>
      <c r="E84" s="16" t="s">
        <v>13</v>
      </c>
      <c r="F84" s="16" t="s">
        <v>8</v>
      </c>
      <c r="G84" s="26">
        <v>0</v>
      </c>
      <c r="H84" s="26">
        <f t="shared" si="2"/>
        <v>0</v>
      </c>
      <c r="I84" s="55"/>
    </row>
    <row r="85" spans="1:9" s="14" customFormat="1" ht="36">
      <c r="A85" s="15" t="s">
        <v>249</v>
      </c>
      <c r="B85" s="15" t="s">
        <v>208</v>
      </c>
      <c r="C85" s="15" t="s">
        <v>250</v>
      </c>
      <c r="D85" s="15" t="s">
        <v>251</v>
      </c>
      <c r="E85" s="16" t="s">
        <v>13</v>
      </c>
      <c r="F85" s="16" t="s">
        <v>8</v>
      </c>
      <c r="G85" s="26">
        <v>0</v>
      </c>
      <c r="H85" s="26">
        <f t="shared" si="2"/>
        <v>0</v>
      </c>
      <c r="I85" s="55"/>
    </row>
    <row r="86" spans="1:9" s="14" customFormat="1" ht="48">
      <c r="A86" s="15" t="s">
        <v>252</v>
      </c>
      <c r="B86" s="15" t="s">
        <v>208</v>
      </c>
      <c r="C86" s="15" t="s">
        <v>253</v>
      </c>
      <c r="D86" s="15" t="s">
        <v>254</v>
      </c>
      <c r="E86" s="16" t="s">
        <v>13</v>
      </c>
      <c r="F86" s="16" t="s">
        <v>8</v>
      </c>
      <c r="G86" s="26">
        <v>0</v>
      </c>
      <c r="H86" s="26">
        <f t="shared" si="2"/>
        <v>0</v>
      </c>
      <c r="I86" s="55"/>
    </row>
    <row r="87" spans="1:9" s="14" customFormat="1" ht="36">
      <c r="A87" s="15" t="s">
        <v>255</v>
      </c>
      <c r="B87" s="15" t="s">
        <v>208</v>
      </c>
      <c r="C87" s="15" t="s">
        <v>256</v>
      </c>
      <c r="D87" s="15" t="s">
        <v>257</v>
      </c>
      <c r="E87" s="16" t="s">
        <v>13</v>
      </c>
      <c r="F87" s="16" t="s">
        <v>8</v>
      </c>
      <c r="G87" s="26">
        <v>0</v>
      </c>
      <c r="H87" s="26">
        <f t="shared" si="2"/>
        <v>0</v>
      </c>
      <c r="I87" s="55"/>
    </row>
    <row r="88" spans="1:9" s="14" customFormat="1" ht="36">
      <c r="A88" s="15" t="s">
        <v>258</v>
      </c>
      <c r="B88" s="15" t="s">
        <v>208</v>
      </c>
      <c r="C88" s="15" t="s">
        <v>259</v>
      </c>
      <c r="D88" s="15" t="s">
        <v>260</v>
      </c>
      <c r="E88" s="16" t="s">
        <v>13</v>
      </c>
      <c r="F88" s="16" t="s">
        <v>8</v>
      </c>
      <c r="G88" s="26">
        <v>0</v>
      </c>
      <c r="H88" s="26">
        <f t="shared" si="2"/>
        <v>0</v>
      </c>
      <c r="I88" s="55"/>
    </row>
    <row r="89" spans="1:9" s="14" customFormat="1" ht="36">
      <c r="A89" s="15" t="s">
        <v>261</v>
      </c>
      <c r="B89" s="15" t="s">
        <v>208</v>
      </c>
      <c r="C89" s="15" t="s">
        <v>262</v>
      </c>
      <c r="D89" s="15" t="s">
        <v>263</v>
      </c>
      <c r="E89" s="16" t="s">
        <v>13</v>
      </c>
      <c r="F89" s="16" t="s">
        <v>8</v>
      </c>
      <c r="G89" s="26">
        <v>0</v>
      </c>
      <c r="H89" s="26">
        <f t="shared" si="2"/>
        <v>0</v>
      </c>
      <c r="I89" s="55"/>
    </row>
    <row r="90" spans="1:9" s="14" customFormat="1" ht="36">
      <c r="A90" s="15" t="s">
        <v>264</v>
      </c>
      <c r="B90" s="15" t="s">
        <v>208</v>
      </c>
      <c r="C90" s="15" t="s">
        <v>265</v>
      </c>
      <c r="D90" s="15" t="s">
        <v>266</v>
      </c>
      <c r="E90" s="16" t="s">
        <v>13</v>
      </c>
      <c r="F90" s="16" t="s">
        <v>8</v>
      </c>
      <c r="G90" s="26">
        <v>0</v>
      </c>
      <c r="H90" s="26">
        <f t="shared" si="2"/>
        <v>0</v>
      </c>
      <c r="I90" s="55"/>
    </row>
    <row r="91" spans="1:9" s="14" customFormat="1" ht="36">
      <c r="A91" s="15" t="s">
        <v>267</v>
      </c>
      <c r="B91" s="15" t="s">
        <v>208</v>
      </c>
      <c r="C91" s="15" t="s">
        <v>268</v>
      </c>
      <c r="D91" s="15" t="s">
        <v>269</v>
      </c>
      <c r="E91" s="16" t="s">
        <v>13</v>
      </c>
      <c r="F91" s="16" t="s">
        <v>8</v>
      </c>
      <c r="G91" s="26">
        <v>0</v>
      </c>
      <c r="H91" s="26">
        <f t="shared" si="2"/>
        <v>0</v>
      </c>
      <c r="I91" s="55"/>
    </row>
    <row r="92" spans="1:9" s="14" customFormat="1" ht="60">
      <c r="A92" s="15" t="s">
        <v>270</v>
      </c>
      <c r="B92" s="15" t="s">
        <v>208</v>
      </c>
      <c r="C92" s="15" t="s">
        <v>271</v>
      </c>
      <c r="D92" s="15" t="s">
        <v>272</v>
      </c>
      <c r="E92" s="16" t="s">
        <v>13</v>
      </c>
      <c r="F92" s="16" t="s">
        <v>8</v>
      </c>
      <c r="G92" s="26">
        <v>0</v>
      </c>
      <c r="H92" s="26">
        <f t="shared" si="2"/>
        <v>0</v>
      </c>
      <c r="I92" s="55"/>
    </row>
    <row r="93" spans="1:9" s="14" customFormat="1" ht="36">
      <c r="A93" s="15" t="s">
        <v>273</v>
      </c>
      <c r="B93" s="15" t="s">
        <v>208</v>
      </c>
      <c r="C93" s="15" t="s">
        <v>274</v>
      </c>
      <c r="D93" s="15" t="s">
        <v>275</v>
      </c>
      <c r="E93" s="16" t="s">
        <v>13</v>
      </c>
      <c r="F93" s="16" t="s">
        <v>8</v>
      </c>
      <c r="G93" s="26">
        <v>0</v>
      </c>
      <c r="H93" s="26">
        <f t="shared" si="2"/>
        <v>0</v>
      </c>
      <c r="I93" s="55"/>
    </row>
    <row r="94" spans="1:9" s="14" customFormat="1" ht="36">
      <c r="A94" s="15" t="s">
        <v>276</v>
      </c>
      <c r="B94" s="15" t="s">
        <v>208</v>
      </c>
      <c r="C94" s="15" t="s">
        <v>277</v>
      </c>
      <c r="D94" s="15" t="s">
        <v>278</v>
      </c>
      <c r="E94" s="16" t="s">
        <v>13</v>
      </c>
      <c r="F94" s="16" t="s">
        <v>8</v>
      </c>
      <c r="G94" s="26">
        <v>0</v>
      </c>
      <c r="H94" s="26">
        <f t="shared" si="2"/>
        <v>0</v>
      </c>
      <c r="I94" s="55"/>
    </row>
    <row r="95" spans="1:9" s="14" customFormat="1" ht="36">
      <c r="A95" s="15" t="s">
        <v>279</v>
      </c>
      <c r="B95" s="15" t="s">
        <v>208</v>
      </c>
      <c r="C95" s="15" t="s">
        <v>280</v>
      </c>
      <c r="D95" s="15" t="s">
        <v>281</v>
      </c>
      <c r="E95" s="16" t="s">
        <v>13</v>
      </c>
      <c r="F95" s="16" t="s">
        <v>8</v>
      </c>
      <c r="G95" s="26">
        <v>0</v>
      </c>
      <c r="H95" s="26">
        <f t="shared" si="2"/>
        <v>0</v>
      </c>
      <c r="I95" s="55"/>
    </row>
    <row r="96" spans="1:9" s="14" customFormat="1" ht="60">
      <c r="A96" s="15" t="s">
        <v>282</v>
      </c>
      <c r="B96" s="15" t="s">
        <v>208</v>
      </c>
      <c r="C96" s="15" t="s">
        <v>283</v>
      </c>
      <c r="D96" s="15" t="s">
        <v>284</v>
      </c>
      <c r="E96" s="16" t="s">
        <v>13</v>
      </c>
      <c r="F96" s="16" t="s">
        <v>8</v>
      </c>
      <c r="G96" s="26">
        <v>0</v>
      </c>
      <c r="H96" s="26">
        <f t="shared" si="2"/>
        <v>0</v>
      </c>
      <c r="I96" s="55"/>
    </row>
    <row r="97" spans="1:9" s="14" customFormat="1" ht="36">
      <c r="A97" s="15" t="s">
        <v>285</v>
      </c>
      <c r="B97" s="15" t="s">
        <v>208</v>
      </c>
      <c r="C97" s="15" t="s">
        <v>286</v>
      </c>
      <c r="D97" s="15" t="s">
        <v>287</v>
      </c>
      <c r="E97" s="16" t="s">
        <v>13</v>
      </c>
      <c r="F97" s="16" t="s">
        <v>8</v>
      </c>
      <c r="G97" s="26">
        <v>0</v>
      </c>
      <c r="H97" s="26">
        <f t="shared" si="2"/>
        <v>0</v>
      </c>
      <c r="I97" s="55"/>
    </row>
    <row r="98" spans="1:9" s="14" customFormat="1" ht="84">
      <c r="A98" s="15" t="s">
        <v>288</v>
      </c>
      <c r="B98" s="15" t="s">
        <v>208</v>
      </c>
      <c r="C98" s="15" t="s">
        <v>289</v>
      </c>
      <c r="D98" s="15" t="s">
        <v>290</v>
      </c>
      <c r="E98" s="16" t="s">
        <v>13</v>
      </c>
      <c r="F98" s="16" t="s">
        <v>8</v>
      </c>
      <c r="G98" s="26">
        <v>0</v>
      </c>
      <c r="H98" s="26">
        <f t="shared" ref="H98:H116" si="3">F98*G98</f>
        <v>0</v>
      </c>
      <c r="I98" s="55"/>
    </row>
    <row r="99" spans="1:9" s="14" customFormat="1" ht="132">
      <c r="A99" s="15" t="s">
        <v>291</v>
      </c>
      <c r="B99" s="15" t="s">
        <v>208</v>
      </c>
      <c r="C99" s="15" t="s">
        <v>292</v>
      </c>
      <c r="D99" s="15" t="s">
        <v>293</v>
      </c>
      <c r="E99" s="16" t="s">
        <v>13</v>
      </c>
      <c r="F99" s="16" t="s">
        <v>8</v>
      </c>
      <c r="G99" s="26">
        <v>0</v>
      </c>
      <c r="H99" s="26">
        <f t="shared" si="3"/>
        <v>0</v>
      </c>
      <c r="I99" s="55"/>
    </row>
    <row r="100" spans="1:9" s="14" customFormat="1" ht="96">
      <c r="A100" s="15" t="s">
        <v>294</v>
      </c>
      <c r="B100" s="15" t="s">
        <v>208</v>
      </c>
      <c r="C100" s="15" t="s">
        <v>295</v>
      </c>
      <c r="D100" s="15" t="s">
        <v>296</v>
      </c>
      <c r="E100" s="16" t="s">
        <v>13</v>
      </c>
      <c r="F100" s="16" t="s">
        <v>8</v>
      </c>
      <c r="G100" s="26">
        <v>0</v>
      </c>
      <c r="H100" s="26">
        <f t="shared" si="3"/>
        <v>0</v>
      </c>
      <c r="I100" s="55"/>
    </row>
    <row r="101" spans="1:9" s="14" customFormat="1" ht="36">
      <c r="A101" s="15" t="s">
        <v>298</v>
      </c>
      <c r="B101" s="15" t="s">
        <v>208</v>
      </c>
      <c r="C101" s="15" t="s">
        <v>295</v>
      </c>
      <c r="D101" s="15" t="s">
        <v>299</v>
      </c>
      <c r="E101" s="16" t="s">
        <v>13</v>
      </c>
      <c r="F101" s="16" t="s">
        <v>8</v>
      </c>
      <c r="G101" s="26">
        <v>0</v>
      </c>
      <c r="H101" s="26">
        <f t="shared" si="3"/>
        <v>0</v>
      </c>
      <c r="I101" s="56">
        <f>SUM(H52:H101)</f>
        <v>63577.5</v>
      </c>
    </row>
    <row r="102" spans="1:9" s="14" customFormat="1" ht="48">
      <c r="A102" s="15" t="s">
        <v>300</v>
      </c>
      <c r="B102" s="15" t="s">
        <v>208</v>
      </c>
      <c r="C102" s="15" t="s">
        <v>301</v>
      </c>
      <c r="D102" s="15" t="s">
        <v>302</v>
      </c>
      <c r="E102" s="16" t="s">
        <v>13</v>
      </c>
      <c r="F102" s="16" t="s">
        <v>8</v>
      </c>
      <c r="G102" s="26">
        <v>0</v>
      </c>
      <c r="H102" s="26">
        <f t="shared" si="3"/>
        <v>0</v>
      </c>
      <c r="I102" s="55"/>
    </row>
    <row r="103" spans="1:9" s="14" customFormat="1" ht="60">
      <c r="A103" s="15" t="s">
        <v>303</v>
      </c>
      <c r="B103" s="15" t="s">
        <v>208</v>
      </c>
      <c r="C103" s="15" t="s">
        <v>304</v>
      </c>
      <c r="D103" s="15" t="s">
        <v>305</v>
      </c>
      <c r="E103" s="16" t="s">
        <v>13</v>
      </c>
      <c r="F103" s="16" t="s">
        <v>8</v>
      </c>
      <c r="G103" s="26">
        <v>0</v>
      </c>
      <c r="H103" s="26">
        <f t="shared" si="3"/>
        <v>0</v>
      </c>
      <c r="I103" s="55"/>
    </row>
    <row r="104" spans="1:9" s="14" customFormat="1" ht="60">
      <c r="A104" s="15" t="s">
        <v>306</v>
      </c>
      <c r="B104" s="15" t="s">
        <v>208</v>
      </c>
      <c r="C104" s="15" t="s">
        <v>304</v>
      </c>
      <c r="D104" s="15" t="s">
        <v>307</v>
      </c>
      <c r="E104" s="16" t="s">
        <v>13</v>
      </c>
      <c r="F104" s="16" t="s">
        <v>8</v>
      </c>
      <c r="G104" s="26">
        <v>0</v>
      </c>
      <c r="H104" s="26">
        <f t="shared" si="3"/>
        <v>0</v>
      </c>
      <c r="I104" s="55"/>
    </row>
    <row r="105" spans="1:9" s="14" customFormat="1" ht="48">
      <c r="A105" s="15" t="s">
        <v>308</v>
      </c>
      <c r="B105" s="15" t="s">
        <v>208</v>
      </c>
      <c r="C105" s="15" t="s">
        <v>309</v>
      </c>
      <c r="D105" s="15" t="s">
        <v>310</v>
      </c>
      <c r="E105" s="16" t="s">
        <v>13</v>
      </c>
      <c r="F105" s="16" t="s">
        <v>8</v>
      </c>
      <c r="G105" s="26">
        <v>0</v>
      </c>
      <c r="H105" s="26">
        <f t="shared" si="3"/>
        <v>0</v>
      </c>
      <c r="I105" s="55"/>
    </row>
    <row r="106" spans="1:9" s="14" customFormat="1" ht="60">
      <c r="A106" s="15" t="s">
        <v>311</v>
      </c>
      <c r="B106" s="15" t="s">
        <v>208</v>
      </c>
      <c r="C106" s="15" t="s">
        <v>309</v>
      </c>
      <c r="D106" s="15" t="s">
        <v>312</v>
      </c>
      <c r="E106" s="16" t="s">
        <v>13</v>
      </c>
      <c r="F106" s="16" t="s">
        <v>8</v>
      </c>
      <c r="G106" s="26">
        <v>0</v>
      </c>
      <c r="H106" s="26">
        <f t="shared" si="3"/>
        <v>0</v>
      </c>
      <c r="I106" s="55"/>
    </row>
    <row r="107" spans="1:9" s="14" customFormat="1" ht="48">
      <c r="A107" s="15" t="s">
        <v>313</v>
      </c>
      <c r="B107" s="15" t="s">
        <v>208</v>
      </c>
      <c r="C107" s="15" t="s">
        <v>314</v>
      </c>
      <c r="D107" s="15" t="s">
        <v>315</v>
      </c>
      <c r="E107" s="16" t="s">
        <v>13</v>
      </c>
      <c r="F107" s="16" t="s">
        <v>8</v>
      </c>
      <c r="G107" s="26">
        <v>0</v>
      </c>
      <c r="H107" s="26">
        <f t="shared" si="3"/>
        <v>0</v>
      </c>
      <c r="I107" s="55"/>
    </row>
    <row r="108" spans="1:9" s="14" customFormat="1" ht="96">
      <c r="A108" s="15" t="s">
        <v>316</v>
      </c>
      <c r="B108" s="15" t="s">
        <v>317</v>
      </c>
      <c r="C108" s="15" t="s">
        <v>318</v>
      </c>
      <c r="D108" s="15" t="s">
        <v>319</v>
      </c>
      <c r="E108" s="16" t="s">
        <v>13</v>
      </c>
      <c r="F108" s="16" t="s">
        <v>8</v>
      </c>
      <c r="G108" s="26">
        <v>0</v>
      </c>
      <c r="H108" s="26">
        <f t="shared" si="3"/>
        <v>0</v>
      </c>
      <c r="I108" s="55"/>
    </row>
    <row r="109" spans="1:9" s="14" customFormat="1" ht="96">
      <c r="A109" s="15" t="s">
        <v>320</v>
      </c>
      <c r="B109" s="15" t="s">
        <v>317</v>
      </c>
      <c r="C109" s="15" t="s">
        <v>321</v>
      </c>
      <c r="D109" s="15" t="s">
        <v>322</v>
      </c>
      <c r="E109" s="16" t="s">
        <v>13</v>
      </c>
      <c r="F109" s="16" t="s">
        <v>8</v>
      </c>
      <c r="G109" s="26">
        <v>0</v>
      </c>
      <c r="H109" s="26">
        <f t="shared" si="3"/>
        <v>0</v>
      </c>
      <c r="I109" s="55"/>
    </row>
    <row r="110" spans="1:9" s="14" customFormat="1" ht="96">
      <c r="A110" s="15" t="s">
        <v>323</v>
      </c>
      <c r="B110" s="15" t="s">
        <v>317</v>
      </c>
      <c r="C110" s="15" t="s">
        <v>324</v>
      </c>
      <c r="D110" s="15" t="s">
        <v>325</v>
      </c>
      <c r="E110" s="16" t="s">
        <v>13</v>
      </c>
      <c r="F110" s="16" t="s">
        <v>8</v>
      </c>
      <c r="G110" s="26">
        <v>0</v>
      </c>
      <c r="H110" s="26">
        <f t="shared" si="3"/>
        <v>0</v>
      </c>
      <c r="I110" s="55"/>
    </row>
    <row r="111" spans="1:9" s="14" customFormat="1" ht="96">
      <c r="A111" s="15" t="s">
        <v>326</v>
      </c>
      <c r="B111" s="15" t="s">
        <v>317</v>
      </c>
      <c r="C111" s="15" t="s">
        <v>327</v>
      </c>
      <c r="D111" s="15" t="s">
        <v>328</v>
      </c>
      <c r="E111" s="16" t="s">
        <v>13</v>
      </c>
      <c r="F111" s="16" t="s">
        <v>8</v>
      </c>
      <c r="G111" s="26">
        <v>0</v>
      </c>
      <c r="H111" s="26">
        <f t="shared" si="3"/>
        <v>0</v>
      </c>
      <c r="I111" s="55"/>
    </row>
    <row r="112" spans="1:9" s="14" customFormat="1" ht="240">
      <c r="A112" s="15" t="s">
        <v>329</v>
      </c>
      <c r="B112" s="15" t="s">
        <v>330</v>
      </c>
      <c r="C112" s="15" t="s">
        <v>331</v>
      </c>
      <c r="D112" s="15" t="s">
        <v>332</v>
      </c>
      <c r="E112" s="16" t="s">
        <v>333</v>
      </c>
      <c r="F112" s="16" t="s">
        <v>14</v>
      </c>
      <c r="G112" s="26">
        <v>0</v>
      </c>
      <c r="H112" s="26">
        <f t="shared" si="3"/>
        <v>0</v>
      </c>
      <c r="I112" s="55"/>
    </row>
    <row r="113" spans="1:9" s="14" customFormat="1" ht="48">
      <c r="A113" s="15" t="s">
        <v>334</v>
      </c>
      <c r="B113" s="15" t="s">
        <v>335</v>
      </c>
      <c r="C113" s="15" t="s">
        <v>336</v>
      </c>
      <c r="D113" s="15" t="s">
        <v>337</v>
      </c>
      <c r="E113" s="16" t="s">
        <v>13</v>
      </c>
      <c r="F113" s="16" t="s">
        <v>8</v>
      </c>
      <c r="G113" s="26">
        <v>0</v>
      </c>
      <c r="H113" s="26">
        <f t="shared" si="3"/>
        <v>0</v>
      </c>
      <c r="I113" s="55"/>
    </row>
    <row r="114" spans="1:9" s="14" customFormat="1" ht="60">
      <c r="A114" s="15" t="s">
        <v>338</v>
      </c>
      <c r="B114" s="15" t="s">
        <v>330</v>
      </c>
      <c r="C114" s="15" t="s">
        <v>339</v>
      </c>
      <c r="D114" s="15" t="s">
        <v>340</v>
      </c>
      <c r="E114" s="16" t="s">
        <v>13</v>
      </c>
      <c r="F114" s="16" t="s">
        <v>8</v>
      </c>
      <c r="G114" s="26">
        <v>0</v>
      </c>
      <c r="H114" s="26">
        <f t="shared" si="3"/>
        <v>0</v>
      </c>
      <c r="I114" s="55"/>
    </row>
    <row r="115" spans="1:9" s="14" customFormat="1" ht="132">
      <c r="A115" s="15" t="s">
        <v>341</v>
      </c>
      <c r="B115" s="15" t="s">
        <v>342</v>
      </c>
      <c r="C115" s="15" t="s">
        <v>343</v>
      </c>
      <c r="D115" s="15" t="s">
        <v>344</v>
      </c>
      <c r="E115" s="16" t="s">
        <v>13</v>
      </c>
      <c r="F115" s="16" t="s">
        <v>8</v>
      </c>
      <c r="G115" s="26">
        <v>0</v>
      </c>
      <c r="H115" s="26">
        <f t="shared" si="3"/>
        <v>0</v>
      </c>
      <c r="I115" s="55"/>
    </row>
    <row r="116" spans="1:9" s="14" customFormat="1" ht="72.75" thickBot="1">
      <c r="A116" s="35" t="s">
        <v>345</v>
      </c>
      <c r="B116" s="35" t="s">
        <v>26</v>
      </c>
      <c r="C116" s="35" t="s">
        <v>346</v>
      </c>
      <c r="D116" s="35" t="s">
        <v>347</v>
      </c>
      <c r="E116" s="36" t="s">
        <v>13</v>
      </c>
      <c r="F116" s="36" t="s">
        <v>8</v>
      </c>
      <c r="G116" s="37">
        <v>0</v>
      </c>
      <c r="H116" s="37">
        <f t="shared" si="3"/>
        <v>0</v>
      </c>
      <c r="I116" s="56">
        <f>SUM(H102:H116)</f>
        <v>0</v>
      </c>
    </row>
    <row r="117" spans="1:9" s="4" customFormat="1" ht="30" customHeight="1" thickBot="1">
      <c r="A117" s="94" t="s">
        <v>1544</v>
      </c>
      <c r="B117" s="95"/>
      <c r="C117" s="95"/>
      <c r="D117" s="95"/>
      <c r="E117" s="95"/>
      <c r="F117" s="96"/>
      <c r="G117" s="92">
        <f>SUM(H2:H116)</f>
        <v>88252.5</v>
      </c>
      <c r="H117" s="93"/>
      <c r="I117" s="58"/>
    </row>
  </sheetData>
  <mergeCells count="2">
    <mergeCell ref="G117:H117"/>
    <mergeCell ref="A117:F117"/>
  </mergeCells>
  <pageMargins left="0.70866141732283472" right="0.70866141732283472" top="0.74803149606299213" bottom="0.74803149606299213" header="0.31496062992125984" footer="0.31496062992125984"/>
  <pageSetup paperSize="9" orientation="landscape" r:id="rId1"/>
  <headerFooter>
    <oddHeader>&amp;L&amp;"Arial,Bold"&amp;12BILL NO 2 DAYWORKS</oddHead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BF300"/>
  <sheetViews>
    <sheetView zoomScaleNormal="100" workbookViewId="0">
      <selection activeCell="D2" sqref="D2"/>
    </sheetView>
  </sheetViews>
  <sheetFormatPr defaultColWidth="9.28515625" defaultRowHeight="12.75"/>
  <cols>
    <col min="1" max="1" width="5.42578125" customWidth="1"/>
    <col min="2" max="2" width="13.5703125" customWidth="1"/>
    <col min="3" max="3" width="31" customWidth="1"/>
    <col min="4" max="4" width="39.42578125" customWidth="1"/>
    <col min="5" max="5" width="7.5703125" style="3" customWidth="1"/>
    <col min="6" max="6" width="8.5703125" style="3" customWidth="1"/>
    <col min="7" max="7" width="10.7109375" style="34" customWidth="1"/>
    <col min="8" max="8" width="13.7109375" style="34" customWidth="1"/>
    <col min="9" max="9" width="20.28515625" customWidth="1"/>
    <col min="10" max="10" width="16.7109375" customWidth="1"/>
    <col min="11" max="11" width="17.42578125" customWidth="1"/>
  </cols>
  <sheetData>
    <row r="1" spans="1:10" ht="38.25">
      <c r="A1" s="31" t="s">
        <v>0</v>
      </c>
      <c r="B1" s="31" t="s">
        <v>1</v>
      </c>
      <c r="C1" s="31" t="s">
        <v>2</v>
      </c>
      <c r="D1" s="31" t="s">
        <v>3</v>
      </c>
      <c r="E1" s="32" t="s">
        <v>4</v>
      </c>
      <c r="F1" s="32" t="s">
        <v>5</v>
      </c>
      <c r="G1" s="33" t="s">
        <v>1547</v>
      </c>
      <c r="H1" s="33" t="s">
        <v>7</v>
      </c>
      <c r="I1" s="46">
        <f>SUM(H2:H22)</f>
        <v>947257</v>
      </c>
    </row>
    <row r="2" spans="1:10" ht="63.75">
      <c r="A2" s="1" t="s">
        <v>487</v>
      </c>
      <c r="B2" s="1" t="s">
        <v>488</v>
      </c>
      <c r="C2" s="1" t="s">
        <v>489</v>
      </c>
      <c r="D2" s="47" t="s">
        <v>490</v>
      </c>
      <c r="E2" s="2" t="s">
        <v>491</v>
      </c>
      <c r="F2" s="2" t="s">
        <v>67</v>
      </c>
      <c r="G2" s="48">
        <v>2520</v>
      </c>
      <c r="H2" s="48">
        <f t="shared" ref="H2:H65" si="0">F2*G2</f>
        <v>50400</v>
      </c>
    </row>
    <row r="3" spans="1:10" ht="51">
      <c r="A3" s="1" t="s">
        <v>492</v>
      </c>
      <c r="B3" s="1" t="s">
        <v>493</v>
      </c>
      <c r="C3" s="1" t="s">
        <v>494</v>
      </c>
      <c r="D3" s="1" t="s">
        <v>495</v>
      </c>
      <c r="E3" s="2" t="s">
        <v>491</v>
      </c>
      <c r="F3" s="2" t="s">
        <v>67</v>
      </c>
      <c r="G3" s="48">
        <v>52.5</v>
      </c>
      <c r="H3" s="48">
        <f t="shared" si="0"/>
        <v>1050</v>
      </c>
    </row>
    <row r="4" spans="1:10" ht="140.25">
      <c r="A4" s="1" t="s">
        <v>496</v>
      </c>
      <c r="B4" s="1" t="s">
        <v>493</v>
      </c>
      <c r="C4" s="1" t="s">
        <v>497</v>
      </c>
      <c r="D4" s="1" t="s">
        <v>498</v>
      </c>
      <c r="E4" s="2" t="s">
        <v>499</v>
      </c>
      <c r="F4" s="2" t="s">
        <v>500</v>
      </c>
      <c r="G4" s="48">
        <v>0.77</v>
      </c>
      <c r="H4" s="48">
        <f t="shared" si="0"/>
        <v>11550</v>
      </c>
    </row>
    <row r="5" spans="1:10" ht="38.25">
      <c r="A5" s="1" t="s">
        <v>501</v>
      </c>
      <c r="B5" s="1" t="s">
        <v>493</v>
      </c>
      <c r="C5" s="1" t="s">
        <v>502</v>
      </c>
      <c r="D5" s="1" t="s">
        <v>503</v>
      </c>
      <c r="E5" s="2" t="s">
        <v>499</v>
      </c>
      <c r="F5" s="2" t="s">
        <v>504</v>
      </c>
      <c r="G5" s="48">
        <v>0.52500000000000002</v>
      </c>
      <c r="H5" s="48">
        <f t="shared" si="0"/>
        <v>2100</v>
      </c>
    </row>
    <row r="6" spans="1:10" ht="25.5">
      <c r="A6" s="1" t="s">
        <v>505</v>
      </c>
      <c r="B6" s="1" t="s">
        <v>493</v>
      </c>
      <c r="C6" s="1" t="s">
        <v>502</v>
      </c>
      <c r="D6" s="1" t="s">
        <v>506</v>
      </c>
      <c r="E6" s="2" t="s">
        <v>499</v>
      </c>
      <c r="F6" s="2" t="s">
        <v>500</v>
      </c>
      <c r="G6" s="48">
        <v>0.52500000000000002</v>
      </c>
      <c r="H6" s="48">
        <f t="shared" si="0"/>
        <v>7875</v>
      </c>
    </row>
    <row r="7" spans="1:10" ht="25.5">
      <c r="A7" s="1" t="s">
        <v>507</v>
      </c>
      <c r="B7" s="1" t="s">
        <v>493</v>
      </c>
      <c r="C7" s="1" t="s">
        <v>502</v>
      </c>
      <c r="D7" s="1" t="s">
        <v>508</v>
      </c>
      <c r="E7" s="2" t="s">
        <v>499</v>
      </c>
      <c r="F7" s="2" t="s">
        <v>509</v>
      </c>
      <c r="G7" s="48">
        <v>0.52500000000000002</v>
      </c>
      <c r="H7" s="48">
        <f t="shared" si="0"/>
        <v>3150</v>
      </c>
    </row>
    <row r="8" spans="1:10" ht="25.5">
      <c r="A8" s="1" t="s">
        <v>510</v>
      </c>
      <c r="B8" s="1" t="s">
        <v>493</v>
      </c>
      <c r="C8" s="1" t="s">
        <v>502</v>
      </c>
      <c r="D8" s="1" t="s">
        <v>511</v>
      </c>
      <c r="E8" s="2" t="s">
        <v>499</v>
      </c>
      <c r="F8" s="2" t="s">
        <v>512</v>
      </c>
      <c r="G8" s="48">
        <v>0.45500000000000002</v>
      </c>
      <c r="H8" s="48">
        <f t="shared" si="0"/>
        <v>473.2</v>
      </c>
      <c r="I8" s="46">
        <f>H5+H6+H7+H8</f>
        <v>13598.2</v>
      </c>
      <c r="J8">
        <v>13598.2</v>
      </c>
    </row>
    <row r="9" spans="1:10" ht="76.5">
      <c r="A9" s="1" t="s">
        <v>513</v>
      </c>
      <c r="B9" s="1" t="s">
        <v>493</v>
      </c>
      <c r="C9" s="1" t="s">
        <v>514</v>
      </c>
      <c r="D9" s="1" t="s">
        <v>515</v>
      </c>
      <c r="E9" s="2" t="s">
        <v>516</v>
      </c>
      <c r="F9" s="2" t="s">
        <v>517</v>
      </c>
      <c r="G9" s="48">
        <v>1.524</v>
      </c>
      <c r="H9" s="48">
        <f t="shared" si="0"/>
        <v>9448.7999999999993</v>
      </c>
    </row>
    <row r="10" spans="1:10" ht="204">
      <c r="A10" s="1" t="s">
        <v>518</v>
      </c>
      <c r="B10" s="1" t="s">
        <v>493</v>
      </c>
      <c r="C10" s="1" t="s">
        <v>519</v>
      </c>
      <c r="D10" s="1" t="s">
        <v>520</v>
      </c>
      <c r="E10" s="2" t="s">
        <v>499</v>
      </c>
      <c r="F10" s="2" t="s">
        <v>521</v>
      </c>
      <c r="G10" s="48">
        <v>63</v>
      </c>
      <c r="H10" s="48">
        <f t="shared" si="0"/>
        <v>18900</v>
      </c>
      <c r="I10" s="46">
        <f>H10+H11+H12+H13+H14</f>
        <v>245700</v>
      </c>
      <c r="J10" t="s">
        <v>1764</v>
      </c>
    </row>
    <row r="11" spans="1:10" ht="306">
      <c r="A11" s="1" t="s">
        <v>522</v>
      </c>
      <c r="B11" s="1" t="s">
        <v>493</v>
      </c>
      <c r="C11" s="1" t="s">
        <v>523</v>
      </c>
      <c r="D11" s="1" t="s">
        <v>524</v>
      </c>
      <c r="E11" s="2" t="s">
        <v>499</v>
      </c>
      <c r="F11" s="2" t="s">
        <v>525</v>
      </c>
      <c r="G11" s="48">
        <v>94.5</v>
      </c>
      <c r="H11" s="48">
        <f t="shared" si="0"/>
        <v>75600</v>
      </c>
    </row>
    <row r="12" spans="1:10" ht="306">
      <c r="A12" s="1" t="s">
        <v>526</v>
      </c>
      <c r="B12" s="1" t="s">
        <v>493</v>
      </c>
      <c r="C12" s="1" t="s">
        <v>523</v>
      </c>
      <c r="D12" s="1" t="s">
        <v>527</v>
      </c>
      <c r="E12" s="2" t="s">
        <v>499</v>
      </c>
      <c r="F12" s="2" t="s">
        <v>528</v>
      </c>
      <c r="G12" s="48">
        <v>94.5</v>
      </c>
      <c r="H12" s="48">
        <f t="shared" si="0"/>
        <v>56700</v>
      </c>
    </row>
    <row r="13" spans="1:10" ht="357">
      <c r="A13" s="1" t="s">
        <v>529</v>
      </c>
      <c r="B13" s="1" t="s">
        <v>493</v>
      </c>
      <c r="C13" s="1" t="s">
        <v>530</v>
      </c>
      <c r="D13" s="1" t="s">
        <v>531</v>
      </c>
      <c r="E13" s="2" t="s">
        <v>499</v>
      </c>
      <c r="F13" s="2" t="s">
        <v>525</v>
      </c>
      <c r="G13" s="48">
        <v>94.5</v>
      </c>
      <c r="H13" s="48">
        <f t="shared" si="0"/>
        <v>75600</v>
      </c>
      <c r="I13">
        <v>75600</v>
      </c>
    </row>
    <row r="14" spans="1:10" ht="306">
      <c r="A14" s="1" t="s">
        <v>532</v>
      </c>
      <c r="B14" s="1" t="s">
        <v>493</v>
      </c>
      <c r="C14" s="1" t="s">
        <v>533</v>
      </c>
      <c r="D14" s="1" t="s">
        <v>534</v>
      </c>
      <c r="E14" s="2" t="s">
        <v>499</v>
      </c>
      <c r="F14" s="2" t="s">
        <v>387</v>
      </c>
      <c r="G14" s="48">
        <v>94.5</v>
      </c>
      <c r="H14" s="48">
        <f t="shared" si="0"/>
        <v>18900</v>
      </c>
    </row>
    <row r="15" spans="1:10" ht="51">
      <c r="A15" s="1" t="s">
        <v>535</v>
      </c>
      <c r="B15" s="1" t="s">
        <v>493</v>
      </c>
      <c r="C15" s="1" t="s">
        <v>536</v>
      </c>
      <c r="D15" s="1" t="s">
        <v>537</v>
      </c>
      <c r="E15" s="2" t="s">
        <v>516</v>
      </c>
      <c r="F15" s="2" t="s">
        <v>538</v>
      </c>
      <c r="G15" s="48">
        <v>2</v>
      </c>
      <c r="H15" s="48">
        <f t="shared" si="0"/>
        <v>16800</v>
      </c>
    </row>
    <row r="16" spans="1:10" ht="25.5">
      <c r="A16" s="1" t="s">
        <v>539</v>
      </c>
      <c r="B16" s="1" t="s">
        <v>493</v>
      </c>
      <c r="C16" s="1" t="s">
        <v>540</v>
      </c>
      <c r="D16" s="1" t="s">
        <v>541</v>
      </c>
      <c r="E16" s="2" t="s">
        <v>516</v>
      </c>
      <c r="F16" s="2" t="s">
        <v>542</v>
      </c>
      <c r="G16" s="48">
        <v>0.54600000000000004</v>
      </c>
      <c r="H16" s="48">
        <f t="shared" si="0"/>
        <v>5460</v>
      </c>
    </row>
    <row r="17" spans="1:10" ht="25.5">
      <c r="A17" s="1" t="s">
        <v>543</v>
      </c>
      <c r="B17" s="1" t="s">
        <v>493</v>
      </c>
      <c r="C17" s="1" t="s">
        <v>544</v>
      </c>
      <c r="D17" s="1" t="s">
        <v>545</v>
      </c>
      <c r="E17" s="2" t="s">
        <v>516</v>
      </c>
      <c r="F17" s="2" t="s">
        <v>546</v>
      </c>
      <c r="G17" s="48">
        <v>5.25</v>
      </c>
      <c r="H17" s="48">
        <f t="shared" si="0"/>
        <v>27300</v>
      </c>
      <c r="I17" s="84"/>
      <c r="J17">
        <v>27300</v>
      </c>
    </row>
    <row r="18" spans="1:10" ht="76.5">
      <c r="A18" s="1" t="s">
        <v>547</v>
      </c>
      <c r="B18" s="1" t="s">
        <v>493</v>
      </c>
      <c r="C18" s="1" t="s">
        <v>548</v>
      </c>
      <c r="D18" s="1" t="s">
        <v>549</v>
      </c>
      <c r="E18" s="2" t="s">
        <v>516</v>
      </c>
      <c r="F18" s="2" t="s">
        <v>550</v>
      </c>
      <c r="G18" s="48">
        <v>21</v>
      </c>
      <c r="H18" s="48">
        <f t="shared" si="0"/>
        <v>462000</v>
      </c>
      <c r="I18" s="84"/>
      <c r="J18" s="46">
        <f>462000+H19</f>
        <v>565950</v>
      </c>
    </row>
    <row r="19" spans="1:10" ht="89.25">
      <c r="A19" s="1" t="s">
        <v>551</v>
      </c>
      <c r="B19" s="1" t="s">
        <v>493</v>
      </c>
      <c r="C19" s="1" t="s">
        <v>552</v>
      </c>
      <c r="D19" s="1" t="s">
        <v>553</v>
      </c>
      <c r="E19" s="2" t="s">
        <v>516</v>
      </c>
      <c r="F19" s="2" t="s">
        <v>554</v>
      </c>
      <c r="G19" s="48">
        <v>9.4499999999999993</v>
      </c>
      <c r="H19" s="48">
        <f t="shared" si="0"/>
        <v>103949.99999999999</v>
      </c>
      <c r="I19">
        <v>103950</v>
      </c>
    </row>
    <row r="20" spans="1:10" ht="114.75">
      <c r="A20" s="1" t="s">
        <v>555</v>
      </c>
      <c r="B20" s="1" t="s">
        <v>493</v>
      </c>
      <c r="C20" s="1" t="s">
        <v>556</v>
      </c>
      <c r="D20" s="1" t="s">
        <v>557</v>
      </c>
      <c r="E20" s="2" t="s">
        <v>13</v>
      </c>
      <c r="F20" s="2" t="s">
        <v>14</v>
      </c>
      <c r="G20" s="48">
        <v>0</v>
      </c>
      <c r="H20" s="48">
        <f t="shared" si="0"/>
        <v>0</v>
      </c>
    </row>
    <row r="21" spans="1:10" ht="165.75">
      <c r="A21" s="1" t="s">
        <v>558</v>
      </c>
      <c r="B21" s="1" t="s">
        <v>493</v>
      </c>
      <c r="C21" s="1" t="s">
        <v>559</v>
      </c>
      <c r="D21" s="1" t="s">
        <v>557</v>
      </c>
      <c r="E21" s="2" t="s">
        <v>13</v>
      </c>
      <c r="F21" s="2" t="s">
        <v>14</v>
      </c>
      <c r="G21" s="48">
        <v>0</v>
      </c>
      <c r="H21" s="48">
        <f t="shared" si="0"/>
        <v>0</v>
      </c>
    </row>
    <row r="22" spans="1:10" ht="140.25">
      <c r="A22" s="1" t="s">
        <v>560</v>
      </c>
      <c r="B22" s="1" t="s">
        <v>493</v>
      </c>
      <c r="C22" s="1" t="s">
        <v>561</v>
      </c>
      <c r="D22" s="1" t="s">
        <v>557</v>
      </c>
      <c r="E22" s="2" t="s">
        <v>13</v>
      </c>
      <c r="F22" s="2" t="s">
        <v>14</v>
      </c>
      <c r="G22" s="48">
        <v>0</v>
      </c>
      <c r="H22" s="48">
        <f t="shared" si="0"/>
        <v>0</v>
      </c>
    </row>
    <row r="23" spans="1:10" ht="306">
      <c r="A23" s="1" t="s">
        <v>562</v>
      </c>
      <c r="B23" s="1" t="s">
        <v>563</v>
      </c>
      <c r="C23" s="1" t="s">
        <v>564</v>
      </c>
      <c r="D23" s="1" t="s">
        <v>565</v>
      </c>
      <c r="E23" s="2" t="s">
        <v>499</v>
      </c>
      <c r="F23" s="2" t="s">
        <v>566</v>
      </c>
      <c r="G23" s="48">
        <v>10.08</v>
      </c>
      <c r="H23" s="48">
        <f t="shared" si="0"/>
        <v>14112</v>
      </c>
    </row>
    <row r="24" spans="1:10" ht="306">
      <c r="A24" s="1" t="s">
        <v>567</v>
      </c>
      <c r="B24" s="1" t="s">
        <v>563</v>
      </c>
      <c r="C24" s="1" t="s">
        <v>568</v>
      </c>
      <c r="D24" s="1" t="s">
        <v>569</v>
      </c>
      <c r="E24" s="2" t="s">
        <v>499</v>
      </c>
      <c r="F24" s="2" t="s">
        <v>570</v>
      </c>
      <c r="G24" s="48">
        <v>13.153</v>
      </c>
      <c r="H24" s="48">
        <f t="shared" si="0"/>
        <v>4998.1400000000003</v>
      </c>
    </row>
    <row r="25" spans="1:10" ht="306">
      <c r="A25" s="1" t="s">
        <v>571</v>
      </c>
      <c r="B25" s="1" t="s">
        <v>563</v>
      </c>
      <c r="C25" s="1" t="s">
        <v>568</v>
      </c>
      <c r="D25" s="1" t="s">
        <v>572</v>
      </c>
      <c r="E25" s="2" t="s">
        <v>499</v>
      </c>
      <c r="F25" s="2" t="s">
        <v>573</v>
      </c>
      <c r="G25" s="48">
        <v>8.5299999999999994</v>
      </c>
      <c r="H25" s="48">
        <f t="shared" si="0"/>
        <v>5544.5</v>
      </c>
    </row>
    <row r="26" spans="1:10" ht="306">
      <c r="A26" s="1" t="s">
        <v>574</v>
      </c>
      <c r="B26" s="1" t="s">
        <v>563</v>
      </c>
      <c r="C26" s="1" t="s">
        <v>568</v>
      </c>
      <c r="D26" s="1" t="s">
        <v>575</v>
      </c>
      <c r="E26" s="2" t="s">
        <v>499</v>
      </c>
      <c r="F26" s="2" t="s">
        <v>387</v>
      </c>
      <c r="G26" s="48">
        <v>1.26</v>
      </c>
      <c r="H26" s="48">
        <f t="shared" si="0"/>
        <v>252</v>
      </c>
    </row>
    <row r="27" spans="1:10" ht="63.75">
      <c r="A27" s="1" t="s">
        <v>576</v>
      </c>
      <c r="B27" s="1" t="s">
        <v>563</v>
      </c>
      <c r="C27" s="1" t="s">
        <v>577</v>
      </c>
      <c r="D27" s="1" t="s">
        <v>578</v>
      </c>
      <c r="E27" s="2" t="s">
        <v>491</v>
      </c>
      <c r="F27" s="2" t="s">
        <v>67</v>
      </c>
      <c r="G27" s="48">
        <v>21</v>
      </c>
      <c r="H27" s="48">
        <f t="shared" si="0"/>
        <v>420</v>
      </c>
      <c r="I27" s="46">
        <f>H27+H28+H29</f>
        <v>1260</v>
      </c>
      <c r="J27" t="s">
        <v>1738</v>
      </c>
    </row>
    <row r="28" spans="1:10" ht="63.75">
      <c r="A28" s="1" t="s">
        <v>579</v>
      </c>
      <c r="B28" s="1" t="s">
        <v>563</v>
      </c>
      <c r="C28" s="1" t="s">
        <v>577</v>
      </c>
      <c r="D28" s="1" t="s">
        <v>580</v>
      </c>
      <c r="E28" s="2" t="s">
        <v>491</v>
      </c>
      <c r="F28" s="2" t="s">
        <v>67</v>
      </c>
      <c r="G28" s="48">
        <v>21</v>
      </c>
      <c r="H28" s="48">
        <f t="shared" si="0"/>
        <v>420</v>
      </c>
    </row>
    <row r="29" spans="1:10" ht="63.75">
      <c r="A29" s="1" t="s">
        <v>581</v>
      </c>
      <c r="B29" s="1" t="s">
        <v>563</v>
      </c>
      <c r="C29" s="1" t="s">
        <v>577</v>
      </c>
      <c r="D29" s="1" t="s">
        <v>582</v>
      </c>
      <c r="E29" s="2" t="s">
        <v>491</v>
      </c>
      <c r="F29" s="2" t="s">
        <v>67</v>
      </c>
      <c r="G29" s="48">
        <v>21</v>
      </c>
      <c r="H29" s="48">
        <f t="shared" si="0"/>
        <v>420</v>
      </c>
    </row>
    <row r="30" spans="1:10" ht="63.75">
      <c r="A30" s="1" t="s">
        <v>583</v>
      </c>
      <c r="B30" s="1" t="s">
        <v>563</v>
      </c>
      <c r="C30" s="1" t="s">
        <v>577</v>
      </c>
      <c r="D30" s="1" t="s">
        <v>584</v>
      </c>
      <c r="E30" s="2" t="s">
        <v>585</v>
      </c>
      <c r="F30" s="2" t="s">
        <v>297</v>
      </c>
      <c r="G30" s="48">
        <v>47.25</v>
      </c>
      <c r="H30" s="48">
        <f t="shared" si="0"/>
        <v>4725</v>
      </c>
      <c r="I30" s="46">
        <f>H30</f>
        <v>4725</v>
      </c>
      <c r="J30" t="s">
        <v>1739</v>
      </c>
    </row>
    <row r="31" spans="1:10" ht="102">
      <c r="A31" s="1" t="s">
        <v>586</v>
      </c>
      <c r="B31" s="1" t="s">
        <v>587</v>
      </c>
      <c r="C31" s="1" t="s">
        <v>588</v>
      </c>
      <c r="D31" s="1" t="s">
        <v>553</v>
      </c>
      <c r="E31" s="2" t="s">
        <v>516</v>
      </c>
      <c r="F31" s="2" t="s">
        <v>589</v>
      </c>
      <c r="G31" s="48">
        <v>15</v>
      </c>
      <c r="H31" s="48">
        <f t="shared" si="0"/>
        <v>261000</v>
      </c>
      <c r="I31" s="46">
        <f>H31</f>
        <v>261000</v>
      </c>
      <c r="J31" t="s">
        <v>1740</v>
      </c>
    </row>
    <row r="32" spans="1:10" ht="89.25">
      <c r="A32" s="89" t="s">
        <v>590</v>
      </c>
      <c r="B32" s="89" t="s">
        <v>587</v>
      </c>
      <c r="C32" s="89" t="s">
        <v>591</v>
      </c>
      <c r="D32" s="89" t="s">
        <v>592</v>
      </c>
      <c r="E32" s="90" t="s">
        <v>516</v>
      </c>
      <c r="F32" s="90" t="s">
        <v>593</v>
      </c>
      <c r="G32" s="91">
        <v>3.6</v>
      </c>
      <c r="H32" s="91">
        <f t="shared" si="0"/>
        <v>2520</v>
      </c>
      <c r="I32" s="87">
        <f>H32+H33+H34+H35+H36+H37</f>
        <v>37905</v>
      </c>
      <c r="J32" s="88" t="s">
        <v>1741</v>
      </c>
    </row>
    <row r="33" spans="1:10" ht="102">
      <c r="A33" s="1"/>
      <c r="B33" s="1" t="s">
        <v>587</v>
      </c>
      <c r="C33" s="1" t="s">
        <v>595</v>
      </c>
      <c r="D33" s="1" t="s">
        <v>596</v>
      </c>
      <c r="E33" s="2" t="s">
        <v>13</v>
      </c>
      <c r="F33" s="2" t="s">
        <v>8</v>
      </c>
      <c r="G33" s="48">
        <v>15750</v>
      </c>
      <c r="H33" s="86">
        <f t="shared" si="0"/>
        <v>15750</v>
      </c>
    </row>
    <row r="34" spans="1:10" ht="76.5">
      <c r="A34" s="1" t="s">
        <v>597</v>
      </c>
      <c r="B34" s="1" t="s">
        <v>598</v>
      </c>
      <c r="C34" s="1" t="s">
        <v>599</v>
      </c>
      <c r="D34" s="1" t="s">
        <v>600</v>
      </c>
      <c r="E34" s="2" t="s">
        <v>516</v>
      </c>
      <c r="F34" s="2" t="s">
        <v>601</v>
      </c>
      <c r="G34" s="48">
        <v>1.05</v>
      </c>
      <c r="H34" s="86">
        <f t="shared" si="0"/>
        <v>5880</v>
      </c>
    </row>
    <row r="35" spans="1:10" ht="127.5">
      <c r="A35" s="1" t="s">
        <v>602</v>
      </c>
      <c r="B35" s="1" t="s">
        <v>598</v>
      </c>
      <c r="C35" s="1" t="s">
        <v>603</v>
      </c>
      <c r="D35" s="1" t="s">
        <v>604</v>
      </c>
      <c r="E35" s="2" t="s">
        <v>516</v>
      </c>
      <c r="F35" s="2" t="s">
        <v>601</v>
      </c>
      <c r="G35" s="48">
        <v>1.05</v>
      </c>
      <c r="H35" s="86">
        <f t="shared" si="0"/>
        <v>5880</v>
      </c>
    </row>
    <row r="36" spans="1:10" ht="76.5">
      <c r="A36" s="1" t="s">
        <v>605</v>
      </c>
      <c r="B36" s="1" t="s">
        <v>598</v>
      </c>
      <c r="C36" s="1" t="s">
        <v>606</v>
      </c>
      <c r="D36" s="1" t="s">
        <v>607</v>
      </c>
      <c r="E36" s="2" t="s">
        <v>608</v>
      </c>
      <c r="F36" s="2" t="s">
        <v>609</v>
      </c>
      <c r="G36" s="48">
        <v>1.05</v>
      </c>
      <c r="H36" s="86">
        <f t="shared" si="0"/>
        <v>1995</v>
      </c>
    </row>
    <row r="37" spans="1:10" ht="76.5">
      <c r="A37" s="1" t="s">
        <v>610</v>
      </c>
      <c r="B37" s="1" t="s">
        <v>598</v>
      </c>
      <c r="C37" s="1" t="s">
        <v>611</v>
      </c>
      <c r="D37" s="1" t="s">
        <v>612</v>
      </c>
      <c r="E37" s="2" t="s">
        <v>516</v>
      </c>
      <c r="F37" s="2" t="s">
        <v>601</v>
      </c>
      <c r="G37" s="48">
        <v>1.05</v>
      </c>
      <c r="H37" s="86">
        <f t="shared" si="0"/>
        <v>5880</v>
      </c>
    </row>
    <row r="38" spans="1:10" ht="76.5">
      <c r="A38" s="1" t="s">
        <v>613</v>
      </c>
      <c r="B38" s="1" t="s">
        <v>598</v>
      </c>
      <c r="C38" s="1" t="s">
        <v>614</v>
      </c>
      <c r="D38" s="1" t="s">
        <v>615</v>
      </c>
      <c r="E38" s="2" t="s">
        <v>516</v>
      </c>
      <c r="F38" s="2" t="s">
        <v>601</v>
      </c>
      <c r="G38" s="48">
        <v>4.2</v>
      </c>
      <c r="H38" s="48">
        <f t="shared" si="0"/>
        <v>23520</v>
      </c>
    </row>
    <row r="39" spans="1:10" ht="76.5">
      <c r="A39" s="1" t="s">
        <v>616</v>
      </c>
      <c r="B39" s="1" t="s">
        <v>598</v>
      </c>
      <c r="C39" s="1" t="s">
        <v>614</v>
      </c>
      <c r="D39" s="1" t="s">
        <v>617</v>
      </c>
      <c r="E39" s="2" t="s">
        <v>608</v>
      </c>
      <c r="F39" s="2" t="s">
        <v>609</v>
      </c>
      <c r="G39" s="48">
        <v>3.15</v>
      </c>
      <c r="H39" s="48">
        <f t="shared" si="0"/>
        <v>5985</v>
      </c>
    </row>
    <row r="40" spans="1:10" ht="76.5">
      <c r="A40" s="1" t="s">
        <v>618</v>
      </c>
      <c r="B40" s="1" t="s">
        <v>598</v>
      </c>
      <c r="C40" s="1" t="s">
        <v>619</v>
      </c>
      <c r="D40" s="1" t="s">
        <v>620</v>
      </c>
      <c r="E40" s="2" t="s">
        <v>491</v>
      </c>
      <c r="F40" s="2" t="s">
        <v>67</v>
      </c>
      <c r="G40" s="48">
        <v>78.75</v>
      </c>
      <c r="H40" s="48">
        <f t="shared" si="0"/>
        <v>1575</v>
      </c>
    </row>
    <row r="41" spans="1:10" ht="76.5">
      <c r="A41" s="1" t="s">
        <v>621</v>
      </c>
      <c r="B41" s="1" t="s">
        <v>598</v>
      </c>
      <c r="C41" s="1" t="s">
        <v>619</v>
      </c>
      <c r="D41" s="1" t="s">
        <v>622</v>
      </c>
      <c r="E41" s="2" t="s">
        <v>491</v>
      </c>
      <c r="F41" s="2" t="s">
        <v>67</v>
      </c>
      <c r="G41" s="48">
        <v>26.25</v>
      </c>
      <c r="H41" s="48">
        <f t="shared" si="0"/>
        <v>525</v>
      </c>
    </row>
    <row r="42" spans="1:10" ht="89.25">
      <c r="A42" s="1" t="s">
        <v>623</v>
      </c>
      <c r="B42" s="1" t="s">
        <v>624</v>
      </c>
      <c r="C42" s="1" t="s">
        <v>625</v>
      </c>
      <c r="D42" s="1" t="s">
        <v>626</v>
      </c>
      <c r="E42" s="2" t="s">
        <v>491</v>
      </c>
      <c r="F42" s="2" t="s">
        <v>63</v>
      </c>
      <c r="G42" s="48">
        <v>210</v>
      </c>
      <c r="H42" s="48">
        <f t="shared" si="0"/>
        <v>3990</v>
      </c>
    </row>
    <row r="43" spans="1:10" ht="63.75">
      <c r="A43" s="1" t="s">
        <v>627</v>
      </c>
      <c r="B43" s="1" t="s">
        <v>624</v>
      </c>
      <c r="C43" s="1" t="s">
        <v>628</v>
      </c>
      <c r="D43" s="1" t="s">
        <v>629</v>
      </c>
      <c r="E43" s="2" t="s">
        <v>608</v>
      </c>
      <c r="F43" s="2" t="s">
        <v>387</v>
      </c>
      <c r="G43" s="48">
        <v>26.25</v>
      </c>
      <c r="H43" s="48">
        <f t="shared" si="0"/>
        <v>5250</v>
      </c>
    </row>
    <row r="44" spans="1:10" ht="51">
      <c r="A44" s="1" t="s">
        <v>630</v>
      </c>
      <c r="B44" s="1" t="s">
        <v>624</v>
      </c>
      <c r="C44" s="1" t="s">
        <v>631</v>
      </c>
      <c r="D44" s="1" t="s">
        <v>632</v>
      </c>
      <c r="E44" s="2" t="s">
        <v>585</v>
      </c>
      <c r="F44" s="2" t="s">
        <v>67</v>
      </c>
      <c r="G44" s="48">
        <v>152.25</v>
      </c>
      <c r="H44" s="48">
        <f t="shared" si="0"/>
        <v>3045</v>
      </c>
    </row>
    <row r="45" spans="1:10" ht="51">
      <c r="A45" s="1" t="s">
        <v>633</v>
      </c>
      <c r="B45" s="1" t="s">
        <v>634</v>
      </c>
      <c r="C45" s="1" t="s">
        <v>635</v>
      </c>
      <c r="D45" s="1" t="s">
        <v>636</v>
      </c>
      <c r="E45" s="2" t="s">
        <v>13</v>
      </c>
      <c r="F45" s="2">
        <v>1</v>
      </c>
      <c r="G45" s="48">
        <v>0</v>
      </c>
      <c r="H45" s="48">
        <f t="shared" si="0"/>
        <v>0</v>
      </c>
      <c r="I45" s="46">
        <f>SUM(H45:H66)</f>
        <v>194881.96</v>
      </c>
      <c r="J45" t="s">
        <v>1742</v>
      </c>
    </row>
    <row r="46" spans="1:10" ht="51">
      <c r="A46" s="1" t="s">
        <v>637</v>
      </c>
      <c r="B46" s="1" t="s">
        <v>634</v>
      </c>
      <c r="C46" s="1" t="s">
        <v>635</v>
      </c>
      <c r="D46" s="1" t="s">
        <v>638</v>
      </c>
      <c r="E46" s="2" t="s">
        <v>13</v>
      </c>
      <c r="F46" s="2">
        <v>1</v>
      </c>
      <c r="G46" s="48">
        <v>0</v>
      </c>
      <c r="H46" s="48">
        <f t="shared" si="0"/>
        <v>0</v>
      </c>
    </row>
    <row r="47" spans="1:10" ht="51">
      <c r="A47" s="1" t="s">
        <v>639</v>
      </c>
      <c r="B47" s="1" t="s">
        <v>634</v>
      </c>
      <c r="C47" s="1" t="s">
        <v>635</v>
      </c>
      <c r="D47" s="1" t="s">
        <v>640</v>
      </c>
      <c r="E47" s="2" t="s">
        <v>13</v>
      </c>
      <c r="F47" s="2" t="s">
        <v>14</v>
      </c>
      <c r="G47" s="48">
        <v>0</v>
      </c>
      <c r="H47" s="48">
        <f t="shared" si="0"/>
        <v>0</v>
      </c>
    </row>
    <row r="48" spans="1:10" ht="51">
      <c r="A48" s="1" t="s">
        <v>641</v>
      </c>
      <c r="B48" s="1" t="s">
        <v>634</v>
      </c>
      <c r="C48" s="1" t="s">
        <v>635</v>
      </c>
      <c r="D48" s="1" t="s">
        <v>642</v>
      </c>
      <c r="E48" s="2" t="s">
        <v>13</v>
      </c>
      <c r="F48" s="2" t="s">
        <v>14</v>
      </c>
      <c r="G48" s="48">
        <v>0</v>
      </c>
      <c r="H48" s="48">
        <f t="shared" si="0"/>
        <v>0</v>
      </c>
      <c r="I48" s="46">
        <f>H49+H50+H51+H52+H53+H54</f>
        <v>97652</v>
      </c>
      <c r="J48" t="s">
        <v>1743</v>
      </c>
    </row>
    <row r="49" spans="1:58" ht="255">
      <c r="A49" s="1" t="s">
        <v>643</v>
      </c>
      <c r="B49" s="1" t="s">
        <v>634</v>
      </c>
      <c r="C49" s="1" t="s">
        <v>644</v>
      </c>
      <c r="D49" s="1" t="s">
        <v>645</v>
      </c>
      <c r="E49" s="2" t="s">
        <v>585</v>
      </c>
      <c r="F49" s="2" t="s">
        <v>67</v>
      </c>
      <c r="G49" s="48">
        <v>892.5</v>
      </c>
      <c r="H49" s="48">
        <f t="shared" si="0"/>
        <v>17850</v>
      </c>
      <c r="I49" s="46">
        <f>H55+H56+H57+H58+H59+H60</f>
        <v>68565</v>
      </c>
      <c r="J49" t="s">
        <v>1744</v>
      </c>
    </row>
    <row r="50" spans="1:58" ht="255">
      <c r="A50" s="1" t="s">
        <v>646</v>
      </c>
      <c r="B50" s="1" t="s">
        <v>634</v>
      </c>
      <c r="C50" s="1" t="s">
        <v>644</v>
      </c>
      <c r="D50" s="1" t="s">
        <v>647</v>
      </c>
      <c r="E50" s="2" t="s">
        <v>585</v>
      </c>
      <c r="F50" s="2" t="s">
        <v>67</v>
      </c>
      <c r="G50" s="48">
        <v>262.5</v>
      </c>
      <c r="H50" s="48">
        <f t="shared" si="0"/>
        <v>5250</v>
      </c>
    </row>
    <row r="51" spans="1:58" s="1" customFormat="1" ht="255">
      <c r="A51" s="1" t="s">
        <v>648</v>
      </c>
      <c r="B51" s="1" t="s">
        <v>634</v>
      </c>
      <c r="C51" s="1" t="s">
        <v>644</v>
      </c>
      <c r="D51" s="1" t="s">
        <v>649</v>
      </c>
      <c r="E51" s="1" t="s">
        <v>585</v>
      </c>
      <c r="F51" s="2" t="s">
        <v>650</v>
      </c>
      <c r="G51" s="48">
        <v>229.7</v>
      </c>
      <c r="H51" s="48">
        <f t="shared" si="0"/>
        <v>36752</v>
      </c>
      <c r="I51" s="53">
        <f>SUM(H2:H51)</f>
        <v>1380795.6400000001</v>
      </c>
      <c r="J51" s="49">
        <f>I51-1380795.64</f>
        <v>0</v>
      </c>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c r="BD51" s="50"/>
      <c r="BE51" s="50"/>
      <c r="BF51" s="50"/>
    </row>
    <row r="52" spans="1:58" s="1" customFormat="1" ht="255">
      <c r="A52" s="1" t="s">
        <v>651</v>
      </c>
      <c r="B52" s="1" t="s">
        <v>634</v>
      </c>
      <c r="C52" s="1" t="s">
        <v>644</v>
      </c>
      <c r="D52" s="1" t="s">
        <v>652</v>
      </c>
      <c r="E52" s="1" t="s">
        <v>585</v>
      </c>
      <c r="F52" s="2" t="s">
        <v>297</v>
      </c>
      <c r="G52" s="48">
        <v>220.5</v>
      </c>
      <c r="H52" s="48">
        <f t="shared" si="0"/>
        <v>22050</v>
      </c>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c r="BD52" s="50"/>
      <c r="BE52" s="50"/>
      <c r="BF52" s="50"/>
    </row>
    <row r="53" spans="1:58" s="1" customFormat="1" ht="255">
      <c r="A53" s="1" t="s">
        <v>653</v>
      </c>
      <c r="B53" s="1" t="s">
        <v>634</v>
      </c>
      <c r="C53" s="1" t="s">
        <v>644</v>
      </c>
      <c r="D53" s="1" t="s">
        <v>654</v>
      </c>
      <c r="E53" s="1" t="s">
        <v>585</v>
      </c>
      <c r="F53" s="2" t="s">
        <v>120</v>
      </c>
      <c r="G53" s="48">
        <v>262.5</v>
      </c>
      <c r="H53" s="48">
        <f t="shared" si="0"/>
        <v>10500</v>
      </c>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c r="AY53" s="50"/>
      <c r="AZ53" s="50"/>
      <c r="BA53" s="50"/>
      <c r="BB53" s="50"/>
      <c r="BC53" s="50"/>
      <c r="BD53" s="50"/>
      <c r="BE53" s="50"/>
      <c r="BF53" s="50"/>
    </row>
    <row r="54" spans="1:58" s="1" customFormat="1" ht="255">
      <c r="A54" s="1" t="s">
        <v>655</v>
      </c>
      <c r="B54" s="1" t="s">
        <v>634</v>
      </c>
      <c r="C54" s="1" t="s">
        <v>644</v>
      </c>
      <c r="D54" s="1" t="s">
        <v>656</v>
      </c>
      <c r="E54" s="1" t="s">
        <v>585</v>
      </c>
      <c r="F54" s="2" t="s">
        <v>120</v>
      </c>
      <c r="G54" s="48">
        <v>131.25</v>
      </c>
      <c r="H54" s="48">
        <f t="shared" si="0"/>
        <v>5250</v>
      </c>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c r="AU54" s="50"/>
      <c r="AV54" s="50"/>
      <c r="AW54" s="50"/>
      <c r="AX54" s="50"/>
      <c r="AY54" s="50"/>
      <c r="AZ54" s="50"/>
      <c r="BA54" s="50"/>
      <c r="BB54" s="50"/>
      <c r="BC54" s="50"/>
      <c r="BD54" s="50"/>
      <c r="BE54" s="50"/>
      <c r="BF54" s="50"/>
    </row>
    <row r="55" spans="1:58" s="1" customFormat="1" ht="255">
      <c r="A55" s="1" t="s">
        <v>657</v>
      </c>
      <c r="B55" s="1" t="s">
        <v>634</v>
      </c>
      <c r="C55" s="1" t="s">
        <v>658</v>
      </c>
      <c r="D55" s="1" t="s">
        <v>645</v>
      </c>
      <c r="E55" s="1" t="s">
        <v>13</v>
      </c>
      <c r="F55" s="2" t="s">
        <v>8</v>
      </c>
      <c r="G55" s="48">
        <v>9135</v>
      </c>
      <c r="H55" s="48">
        <f t="shared" si="0"/>
        <v>9135</v>
      </c>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c r="BD55" s="50"/>
      <c r="BE55" s="50"/>
      <c r="BF55" s="50"/>
    </row>
    <row r="56" spans="1:58" s="1" customFormat="1" ht="255">
      <c r="A56" s="1" t="s">
        <v>659</v>
      </c>
      <c r="B56" s="1" t="s">
        <v>634</v>
      </c>
      <c r="C56" s="1" t="s">
        <v>658</v>
      </c>
      <c r="D56" s="1" t="s">
        <v>647</v>
      </c>
      <c r="E56" s="1" t="s">
        <v>13</v>
      </c>
      <c r="F56" s="2" t="s">
        <v>8</v>
      </c>
      <c r="G56" s="48">
        <v>4410</v>
      </c>
      <c r="H56" s="48">
        <f t="shared" si="0"/>
        <v>4410</v>
      </c>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c r="AV56" s="50"/>
      <c r="AW56" s="50"/>
      <c r="AX56" s="50"/>
      <c r="AY56" s="50"/>
      <c r="AZ56" s="50"/>
      <c r="BA56" s="50"/>
      <c r="BB56" s="50"/>
      <c r="BC56" s="50"/>
      <c r="BD56" s="50"/>
      <c r="BE56" s="50"/>
      <c r="BF56" s="50"/>
    </row>
    <row r="57" spans="1:58" s="1" customFormat="1" ht="255">
      <c r="A57" s="1" t="s">
        <v>660</v>
      </c>
      <c r="B57" s="1" t="s">
        <v>634</v>
      </c>
      <c r="C57" s="1" t="s">
        <v>658</v>
      </c>
      <c r="D57" s="1" t="s">
        <v>649</v>
      </c>
      <c r="E57" s="1" t="s">
        <v>13</v>
      </c>
      <c r="F57" s="2" t="s">
        <v>8</v>
      </c>
      <c r="G57" s="48">
        <v>26460</v>
      </c>
      <c r="H57" s="48">
        <f t="shared" si="0"/>
        <v>26460</v>
      </c>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c r="BD57" s="50"/>
      <c r="BE57" s="50"/>
      <c r="BF57" s="50"/>
    </row>
    <row r="58" spans="1:58" s="1" customFormat="1" ht="255">
      <c r="A58" s="1" t="s">
        <v>661</v>
      </c>
      <c r="B58" s="1" t="s">
        <v>634</v>
      </c>
      <c r="C58" s="1" t="s">
        <v>658</v>
      </c>
      <c r="D58" s="1" t="s">
        <v>652</v>
      </c>
      <c r="E58" s="1" t="s">
        <v>13</v>
      </c>
      <c r="F58" s="2" t="s">
        <v>8</v>
      </c>
      <c r="G58" s="48">
        <v>15750</v>
      </c>
      <c r="H58" s="48">
        <f t="shared" si="0"/>
        <v>15750</v>
      </c>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c r="BD58" s="50"/>
      <c r="BE58" s="50"/>
      <c r="BF58" s="50"/>
    </row>
    <row r="59" spans="1:58" s="1" customFormat="1" ht="255">
      <c r="A59" s="1" t="s">
        <v>662</v>
      </c>
      <c r="B59" s="1" t="s">
        <v>634</v>
      </c>
      <c r="C59" s="1" t="s">
        <v>658</v>
      </c>
      <c r="D59" s="1" t="s">
        <v>654</v>
      </c>
      <c r="E59" s="1" t="s">
        <v>13</v>
      </c>
      <c r="F59" s="2" t="s">
        <v>8</v>
      </c>
      <c r="G59" s="48">
        <v>8400</v>
      </c>
      <c r="H59" s="48">
        <f t="shared" si="0"/>
        <v>8400</v>
      </c>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row>
    <row r="60" spans="1:58" s="1" customFormat="1" ht="255">
      <c r="A60" s="1" t="s">
        <v>663</v>
      </c>
      <c r="B60" s="1" t="s">
        <v>634</v>
      </c>
      <c r="C60" s="1" t="s">
        <v>658</v>
      </c>
      <c r="D60" s="1" t="s">
        <v>656</v>
      </c>
      <c r="E60" s="1" t="s">
        <v>13</v>
      </c>
      <c r="F60" s="2" t="s">
        <v>8</v>
      </c>
      <c r="G60" s="48">
        <v>4410</v>
      </c>
      <c r="H60" s="48">
        <f t="shared" si="0"/>
        <v>4410</v>
      </c>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0"/>
      <c r="AQ60" s="50"/>
      <c r="AR60" s="50"/>
      <c r="AS60" s="50"/>
      <c r="AT60" s="50"/>
      <c r="AU60" s="50"/>
      <c r="AV60" s="50"/>
      <c r="AW60" s="50"/>
      <c r="AX60" s="50"/>
      <c r="AY60" s="50"/>
      <c r="AZ60" s="50"/>
      <c r="BA60" s="50"/>
      <c r="BB60" s="50"/>
      <c r="BC60" s="50"/>
      <c r="BD60" s="50"/>
      <c r="BE60" s="50"/>
      <c r="BF60" s="50"/>
    </row>
    <row r="61" spans="1:58" s="1" customFormat="1" ht="76.5">
      <c r="A61" s="1" t="s">
        <v>664</v>
      </c>
      <c r="B61" s="1" t="s">
        <v>634</v>
      </c>
      <c r="C61" s="1" t="s">
        <v>665</v>
      </c>
      <c r="D61" s="1" t="s">
        <v>666</v>
      </c>
      <c r="E61" s="1" t="s">
        <v>585</v>
      </c>
      <c r="F61" s="2" t="s">
        <v>67</v>
      </c>
      <c r="G61" s="48">
        <v>31.5</v>
      </c>
      <c r="H61" s="48">
        <f t="shared" si="0"/>
        <v>630</v>
      </c>
      <c r="I61" s="49">
        <f>H61</f>
        <v>630</v>
      </c>
      <c r="J61" s="50" t="s">
        <v>1745</v>
      </c>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c r="AR61" s="50"/>
      <c r="AS61" s="50"/>
      <c r="AT61" s="50"/>
      <c r="AU61" s="50"/>
      <c r="AV61" s="50"/>
      <c r="AW61" s="50"/>
      <c r="AX61" s="50"/>
      <c r="AY61" s="50"/>
      <c r="AZ61" s="50"/>
      <c r="BA61" s="50"/>
      <c r="BB61" s="50"/>
      <c r="BC61" s="50"/>
      <c r="BD61" s="50"/>
      <c r="BE61" s="50"/>
      <c r="BF61" s="50"/>
    </row>
    <row r="62" spans="1:58" s="1" customFormat="1" ht="114.75">
      <c r="A62" s="1" t="s">
        <v>667</v>
      </c>
      <c r="B62" s="1" t="s">
        <v>634</v>
      </c>
      <c r="C62" s="1" t="s">
        <v>668</v>
      </c>
      <c r="D62" s="1" t="s">
        <v>669</v>
      </c>
      <c r="E62" s="1" t="s">
        <v>585</v>
      </c>
      <c r="F62" s="2" t="s">
        <v>650</v>
      </c>
      <c r="G62" s="48">
        <v>68.906000000000006</v>
      </c>
      <c r="H62" s="48">
        <f t="shared" si="0"/>
        <v>11024.960000000001</v>
      </c>
      <c r="I62" s="49">
        <f>H62+H63+H64+H65+H66</f>
        <v>28034.959999999999</v>
      </c>
      <c r="J62" s="50" t="s">
        <v>1746</v>
      </c>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row>
    <row r="63" spans="1:58" s="1" customFormat="1" ht="114.75">
      <c r="A63" s="1" t="s">
        <v>670</v>
      </c>
      <c r="B63" s="1" t="s">
        <v>634</v>
      </c>
      <c r="C63" s="1" t="s">
        <v>668</v>
      </c>
      <c r="D63" s="1" t="s">
        <v>671</v>
      </c>
      <c r="E63" s="1" t="s">
        <v>585</v>
      </c>
      <c r="F63" s="2" t="s">
        <v>67</v>
      </c>
      <c r="G63" s="48">
        <v>47.25</v>
      </c>
      <c r="H63" s="48">
        <f t="shared" si="0"/>
        <v>945</v>
      </c>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c r="AX63" s="50"/>
      <c r="AY63" s="50"/>
      <c r="AZ63" s="50"/>
      <c r="BA63" s="50"/>
      <c r="BB63" s="50"/>
      <c r="BC63" s="50"/>
      <c r="BD63" s="50"/>
      <c r="BE63" s="50"/>
      <c r="BF63" s="50"/>
    </row>
    <row r="64" spans="1:58" s="1" customFormat="1" ht="114.75">
      <c r="A64" s="1" t="s">
        <v>672</v>
      </c>
      <c r="B64" s="1" t="s">
        <v>634</v>
      </c>
      <c r="C64" s="1" t="s">
        <v>668</v>
      </c>
      <c r="D64" s="1" t="s">
        <v>673</v>
      </c>
      <c r="E64" s="1" t="s">
        <v>585</v>
      </c>
      <c r="F64" s="2" t="s">
        <v>178</v>
      </c>
      <c r="G64" s="48">
        <v>78.75</v>
      </c>
      <c r="H64" s="48">
        <f t="shared" si="0"/>
        <v>4725</v>
      </c>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c r="AY64" s="50"/>
      <c r="AZ64" s="50"/>
      <c r="BA64" s="50"/>
      <c r="BB64" s="50"/>
      <c r="BC64" s="50"/>
      <c r="BD64" s="50"/>
      <c r="BE64" s="50"/>
      <c r="BF64" s="50"/>
    </row>
    <row r="65" spans="1:58" s="1" customFormat="1" ht="114.75">
      <c r="A65" s="1" t="s">
        <v>674</v>
      </c>
      <c r="B65" s="1" t="s">
        <v>634</v>
      </c>
      <c r="C65" s="1" t="s">
        <v>668</v>
      </c>
      <c r="D65" s="1" t="s">
        <v>675</v>
      </c>
      <c r="E65" s="1" t="s">
        <v>585</v>
      </c>
      <c r="F65" s="2" t="s">
        <v>67</v>
      </c>
      <c r="G65" s="48">
        <v>94.5</v>
      </c>
      <c r="H65" s="48">
        <f t="shared" si="0"/>
        <v>1890</v>
      </c>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c r="AR65" s="50"/>
      <c r="AS65" s="50"/>
      <c r="AT65" s="50"/>
      <c r="AU65" s="50"/>
      <c r="AV65" s="50"/>
      <c r="AW65" s="50"/>
      <c r="AX65" s="50"/>
      <c r="AY65" s="50"/>
      <c r="AZ65" s="50"/>
      <c r="BA65" s="50"/>
      <c r="BB65" s="50"/>
      <c r="BC65" s="50"/>
      <c r="BD65" s="50"/>
      <c r="BE65" s="50"/>
      <c r="BF65" s="50"/>
    </row>
    <row r="66" spans="1:58" s="1" customFormat="1" ht="114.75">
      <c r="A66" s="1" t="s">
        <v>676</v>
      </c>
      <c r="B66" s="1" t="s">
        <v>634</v>
      </c>
      <c r="C66" s="1" t="s">
        <v>677</v>
      </c>
      <c r="D66" s="1" t="s">
        <v>678</v>
      </c>
      <c r="E66" s="1" t="s">
        <v>585</v>
      </c>
      <c r="F66" s="2" t="s">
        <v>297</v>
      </c>
      <c r="G66" s="48">
        <v>94.5</v>
      </c>
      <c r="H66" s="48">
        <f t="shared" ref="H66:H129" si="1">F66*G66</f>
        <v>9450</v>
      </c>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c r="AS66" s="50"/>
      <c r="AT66" s="50"/>
      <c r="AU66" s="50"/>
      <c r="AV66" s="50"/>
      <c r="AW66" s="50"/>
      <c r="AX66" s="50"/>
      <c r="AY66" s="50"/>
      <c r="AZ66" s="50"/>
      <c r="BA66" s="50"/>
      <c r="BB66" s="50"/>
      <c r="BC66" s="50"/>
      <c r="BD66" s="50"/>
      <c r="BE66" s="50"/>
      <c r="BF66" s="50"/>
    </row>
    <row r="67" spans="1:58" s="1" customFormat="1" ht="76.5">
      <c r="A67" s="1" t="s">
        <v>679</v>
      </c>
      <c r="B67" s="1" t="s">
        <v>680</v>
      </c>
      <c r="C67" s="1" t="s">
        <v>681</v>
      </c>
      <c r="D67" s="1" t="s">
        <v>682</v>
      </c>
      <c r="E67" s="1" t="s">
        <v>516</v>
      </c>
      <c r="F67" s="2" t="s">
        <v>683</v>
      </c>
      <c r="G67" s="48">
        <v>2.3849999999999998</v>
      </c>
      <c r="H67" s="48">
        <f t="shared" si="1"/>
        <v>38637</v>
      </c>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c r="AR67" s="50"/>
      <c r="AS67" s="50"/>
      <c r="AT67" s="50"/>
      <c r="AU67" s="50"/>
      <c r="AV67" s="50"/>
      <c r="AW67" s="50"/>
      <c r="AX67" s="50"/>
      <c r="AY67" s="50"/>
      <c r="AZ67" s="50"/>
      <c r="BA67" s="50"/>
      <c r="BB67" s="50"/>
      <c r="BC67" s="50"/>
      <c r="BD67" s="50"/>
      <c r="BE67" s="50"/>
      <c r="BF67" s="50"/>
    </row>
    <row r="68" spans="1:58" s="1" customFormat="1" ht="76.5">
      <c r="A68" s="1" t="s">
        <v>684</v>
      </c>
      <c r="B68" s="1" t="s">
        <v>680</v>
      </c>
      <c r="C68" s="1" t="s">
        <v>685</v>
      </c>
      <c r="D68" s="1" t="s">
        <v>686</v>
      </c>
      <c r="E68" s="1" t="s">
        <v>516</v>
      </c>
      <c r="F68" s="2" t="s">
        <v>687</v>
      </c>
      <c r="G68" s="48">
        <v>2.0699999999999998</v>
      </c>
      <c r="H68" s="48">
        <f t="shared" si="1"/>
        <v>28979.999999999996</v>
      </c>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50"/>
      <c r="AN68" s="50"/>
      <c r="AO68" s="50"/>
      <c r="AP68" s="50"/>
      <c r="AQ68" s="50"/>
      <c r="AR68" s="50"/>
      <c r="AS68" s="50"/>
      <c r="AT68" s="50"/>
      <c r="AU68" s="50"/>
      <c r="AV68" s="50"/>
      <c r="AW68" s="50"/>
      <c r="AX68" s="50"/>
      <c r="AY68" s="50"/>
      <c r="AZ68" s="50"/>
      <c r="BA68" s="50"/>
      <c r="BB68" s="50"/>
      <c r="BC68" s="50"/>
      <c r="BD68" s="50"/>
      <c r="BE68" s="50"/>
      <c r="BF68" s="50"/>
    </row>
    <row r="69" spans="1:58" s="1" customFormat="1" ht="51">
      <c r="A69" s="1" t="s">
        <v>688</v>
      </c>
      <c r="B69" s="1" t="s">
        <v>680</v>
      </c>
      <c r="C69" s="1" t="s">
        <v>689</v>
      </c>
      <c r="D69" s="1" t="s">
        <v>690</v>
      </c>
      <c r="E69" s="1" t="s">
        <v>585</v>
      </c>
      <c r="F69" s="2" t="s">
        <v>67</v>
      </c>
      <c r="G69" s="48">
        <v>945</v>
      </c>
      <c r="H69" s="48">
        <f t="shared" si="1"/>
        <v>18900</v>
      </c>
      <c r="I69" s="50"/>
      <c r="J69" s="50" t="s">
        <v>1747</v>
      </c>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50"/>
      <c r="AN69" s="50"/>
      <c r="AO69" s="50"/>
      <c r="AP69" s="50"/>
      <c r="AQ69" s="50"/>
      <c r="AR69" s="50"/>
      <c r="AS69" s="50"/>
      <c r="AT69" s="50"/>
      <c r="AU69" s="50"/>
      <c r="AV69" s="50"/>
      <c r="AW69" s="50"/>
      <c r="AX69" s="50"/>
      <c r="AY69" s="50"/>
      <c r="AZ69" s="50"/>
      <c r="BA69" s="50"/>
      <c r="BB69" s="50"/>
      <c r="BC69" s="50"/>
      <c r="BD69" s="50"/>
      <c r="BE69" s="50"/>
      <c r="BF69" s="50"/>
    </row>
    <row r="70" spans="1:58" s="1" customFormat="1" ht="63.75">
      <c r="A70" s="1" t="s">
        <v>691</v>
      </c>
      <c r="B70" s="1" t="s">
        <v>680</v>
      </c>
      <c r="C70" s="1" t="s">
        <v>692</v>
      </c>
      <c r="D70" s="1" t="s">
        <v>693</v>
      </c>
      <c r="E70" s="1" t="s">
        <v>516</v>
      </c>
      <c r="F70" s="2" t="s">
        <v>694</v>
      </c>
      <c r="G70" s="48">
        <v>4.0860000000000003</v>
      </c>
      <c r="H70" s="48">
        <f t="shared" si="1"/>
        <v>15118.2</v>
      </c>
      <c r="I70" s="49">
        <f>H70+H71+H72+H78+H84+H85</f>
        <v>61318.399999999994</v>
      </c>
      <c r="J70" s="50" t="s">
        <v>1748</v>
      </c>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50"/>
      <c r="AN70" s="50"/>
      <c r="AO70" s="50"/>
      <c r="AP70" s="50"/>
      <c r="AQ70" s="50"/>
      <c r="AR70" s="50"/>
      <c r="AS70" s="50"/>
      <c r="AT70" s="50"/>
      <c r="AU70" s="50"/>
      <c r="AV70" s="50"/>
      <c r="AW70" s="50"/>
      <c r="AX70" s="50"/>
      <c r="AY70" s="50"/>
      <c r="AZ70" s="50"/>
      <c r="BA70" s="50"/>
      <c r="BB70" s="50"/>
      <c r="BC70" s="50"/>
      <c r="BD70" s="50"/>
      <c r="BE70" s="50"/>
      <c r="BF70" s="50"/>
    </row>
    <row r="71" spans="1:58" s="1" customFormat="1" ht="63.75">
      <c r="A71" s="1" t="s">
        <v>695</v>
      </c>
      <c r="B71" s="1" t="s">
        <v>680</v>
      </c>
      <c r="C71" s="1" t="s">
        <v>696</v>
      </c>
      <c r="D71" s="1" t="s">
        <v>693</v>
      </c>
      <c r="E71" s="1" t="s">
        <v>516</v>
      </c>
      <c r="F71" s="2" t="s">
        <v>697</v>
      </c>
      <c r="G71" s="48">
        <v>4.5819999999999999</v>
      </c>
      <c r="H71" s="48">
        <f t="shared" si="1"/>
        <v>2520.1</v>
      </c>
      <c r="I71" s="49">
        <f>H73+H77+H74+H79</f>
        <v>8365</v>
      </c>
      <c r="J71" s="50" t="s">
        <v>1749</v>
      </c>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0"/>
      <c r="AQ71" s="50"/>
      <c r="AR71" s="50"/>
      <c r="AS71" s="50"/>
      <c r="AT71" s="50"/>
      <c r="AU71" s="50"/>
      <c r="AV71" s="50"/>
      <c r="AW71" s="50"/>
      <c r="AX71" s="50"/>
      <c r="AY71" s="50"/>
      <c r="AZ71" s="50"/>
      <c r="BA71" s="50"/>
      <c r="BB71" s="50"/>
      <c r="BC71" s="50"/>
      <c r="BD71" s="50"/>
      <c r="BE71" s="50"/>
      <c r="BF71" s="50"/>
    </row>
    <row r="72" spans="1:58" s="1" customFormat="1" ht="63.75">
      <c r="A72" s="1" t="s">
        <v>698</v>
      </c>
      <c r="B72" s="1" t="s">
        <v>680</v>
      </c>
      <c r="C72" s="1" t="s">
        <v>699</v>
      </c>
      <c r="D72" s="1" t="s">
        <v>693</v>
      </c>
      <c r="E72" s="1" t="s">
        <v>516</v>
      </c>
      <c r="F72" s="2" t="s">
        <v>528</v>
      </c>
      <c r="G72" s="48">
        <v>6.3</v>
      </c>
      <c r="H72" s="48">
        <f t="shared" si="1"/>
        <v>3780</v>
      </c>
      <c r="I72" s="49">
        <f>H78+H84+H85+H94</f>
        <v>43470.1</v>
      </c>
      <c r="J72" s="50" t="s">
        <v>1750</v>
      </c>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c r="AR72" s="50"/>
      <c r="AS72" s="50"/>
      <c r="AT72" s="50"/>
      <c r="AU72" s="50"/>
      <c r="AV72" s="50"/>
      <c r="AW72" s="50"/>
      <c r="AX72" s="50"/>
      <c r="AY72" s="50"/>
      <c r="AZ72" s="50"/>
      <c r="BA72" s="50"/>
      <c r="BB72" s="50"/>
      <c r="BC72" s="50"/>
      <c r="BD72" s="50"/>
      <c r="BE72" s="50"/>
      <c r="BF72" s="50"/>
    </row>
    <row r="73" spans="1:58" s="1" customFormat="1" ht="63.75">
      <c r="A73" s="1" t="s">
        <v>700</v>
      </c>
      <c r="B73" s="1" t="s">
        <v>680</v>
      </c>
      <c r="C73" s="1" t="s">
        <v>701</v>
      </c>
      <c r="D73" s="1" t="s">
        <v>702</v>
      </c>
      <c r="E73" s="1" t="s">
        <v>516</v>
      </c>
      <c r="F73" s="2" t="s">
        <v>528</v>
      </c>
      <c r="G73" s="48">
        <v>5.6</v>
      </c>
      <c r="H73" s="48">
        <f t="shared" si="1"/>
        <v>3360</v>
      </c>
      <c r="I73" s="50"/>
      <c r="J73" s="50" t="s">
        <v>1751</v>
      </c>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c r="BD73" s="50"/>
      <c r="BE73" s="50"/>
      <c r="BF73" s="50"/>
    </row>
    <row r="74" spans="1:58" s="1" customFormat="1" ht="63.75">
      <c r="A74" s="1" t="s">
        <v>703</v>
      </c>
      <c r="B74" s="1" t="s">
        <v>680</v>
      </c>
      <c r="C74" s="1" t="s">
        <v>704</v>
      </c>
      <c r="D74" s="1" t="s">
        <v>705</v>
      </c>
      <c r="E74" s="1" t="s">
        <v>516</v>
      </c>
      <c r="F74" s="2" t="s">
        <v>706</v>
      </c>
      <c r="G74" s="48">
        <v>2.52</v>
      </c>
      <c r="H74" s="48">
        <f t="shared" si="1"/>
        <v>1260</v>
      </c>
      <c r="I74" s="50"/>
      <c r="J74" s="50" t="s">
        <v>1752</v>
      </c>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0"/>
      <c r="AQ74" s="50"/>
      <c r="AR74" s="50"/>
      <c r="AS74" s="50"/>
      <c r="AT74" s="50"/>
      <c r="AU74" s="50"/>
      <c r="AV74" s="50"/>
      <c r="AW74" s="50"/>
      <c r="AX74" s="50"/>
      <c r="AY74" s="50"/>
      <c r="AZ74" s="50"/>
      <c r="BA74" s="50"/>
      <c r="BB74" s="50"/>
      <c r="BC74" s="50"/>
      <c r="BD74" s="50"/>
      <c r="BE74" s="50"/>
      <c r="BF74" s="50"/>
    </row>
    <row r="75" spans="1:58" s="1" customFormat="1" ht="63.75">
      <c r="A75" s="1" t="s">
        <v>707</v>
      </c>
      <c r="B75" s="1" t="s">
        <v>680</v>
      </c>
      <c r="C75" s="1" t="s">
        <v>708</v>
      </c>
      <c r="D75" s="1" t="s">
        <v>709</v>
      </c>
      <c r="E75" s="1" t="s">
        <v>516</v>
      </c>
      <c r="F75" s="2" t="s">
        <v>504</v>
      </c>
      <c r="G75" s="48">
        <v>1.47</v>
      </c>
      <c r="H75" s="48">
        <f t="shared" si="1"/>
        <v>5880</v>
      </c>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c r="AR75" s="50"/>
      <c r="AS75" s="50"/>
      <c r="AT75" s="50"/>
      <c r="AU75" s="50"/>
      <c r="AV75" s="50"/>
      <c r="AW75" s="50"/>
      <c r="AX75" s="50"/>
      <c r="AY75" s="50"/>
      <c r="AZ75" s="50"/>
      <c r="BA75" s="50"/>
      <c r="BB75" s="50"/>
      <c r="BC75" s="50"/>
      <c r="BD75" s="50"/>
      <c r="BE75" s="50"/>
      <c r="BF75" s="50"/>
    </row>
    <row r="76" spans="1:58" s="1" customFormat="1" ht="63.75">
      <c r="A76" s="1" t="s">
        <v>710</v>
      </c>
      <c r="B76" s="1" t="s">
        <v>680</v>
      </c>
      <c r="C76" s="1" t="s">
        <v>711</v>
      </c>
      <c r="D76" s="1" t="s">
        <v>712</v>
      </c>
      <c r="E76" s="1" t="s">
        <v>516</v>
      </c>
      <c r="F76" s="2" t="s">
        <v>525</v>
      </c>
      <c r="G76" s="48">
        <v>16.274999999999999</v>
      </c>
      <c r="H76" s="48">
        <f t="shared" si="1"/>
        <v>13019.999999999998</v>
      </c>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50"/>
      <c r="AN76" s="50"/>
      <c r="AO76" s="50"/>
      <c r="AP76" s="50"/>
      <c r="AQ76" s="50"/>
      <c r="AR76" s="50"/>
      <c r="AS76" s="50"/>
      <c r="AT76" s="50"/>
      <c r="AU76" s="50"/>
      <c r="AV76" s="50"/>
      <c r="AW76" s="50"/>
      <c r="AX76" s="50"/>
      <c r="AY76" s="50"/>
      <c r="AZ76" s="50"/>
      <c r="BA76" s="50"/>
      <c r="BB76" s="50"/>
      <c r="BC76" s="50"/>
      <c r="BD76" s="50"/>
      <c r="BE76" s="50"/>
      <c r="BF76" s="50"/>
    </row>
    <row r="77" spans="1:58" s="1" customFormat="1" ht="63.75">
      <c r="A77" s="1" t="s">
        <v>713</v>
      </c>
      <c r="B77" s="1" t="s">
        <v>680</v>
      </c>
      <c r="C77" s="1" t="s">
        <v>714</v>
      </c>
      <c r="D77" s="1" t="s">
        <v>715</v>
      </c>
      <c r="E77" s="1" t="s">
        <v>516</v>
      </c>
      <c r="F77" s="2" t="s">
        <v>387</v>
      </c>
      <c r="G77" s="48">
        <v>14</v>
      </c>
      <c r="H77" s="48">
        <f t="shared" si="1"/>
        <v>2800</v>
      </c>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50"/>
      <c r="AN77" s="50"/>
      <c r="AO77" s="50"/>
      <c r="AP77" s="50"/>
      <c r="AQ77" s="50"/>
      <c r="AR77" s="50"/>
      <c r="AS77" s="50"/>
      <c r="AT77" s="50"/>
      <c r="AU77" s="50"/>
      <c r="AV77" s="50"/>
      <c r="AW77" s="50"/>
      <c r="AX77" s="50"/>
      <c r="AY77" s="50"/>
      <c r="AZ77" s="50"/>
      <c r="BA77" s="50"/>
      <c r="BB77" s="50"/>
      <c r="BC77" s="50"/>
      <c r="BD77" s="50"/>
      <c r="BE77" s="50"/>
      <c r="BF77" s="50"/>
    </row>
    <row r="78" spans="1:58" s="1" customFormat="1" ht="63.75">
      <c r="A78" s="1" t="s">
        <v>716</v>
      </c>
      <c r="B78" s="1" t="s">
        <v>680</v>
      </c>
      <c r="C78" s="1" t="s">
        <v>717</v>
      </c>
      <c r="D78" s="1" t="s">
        <v>718</v>
      </c>
      <c r="E78" s="1" t="s">
        <v>608</v>
      </c>
      <c r="F78" s="2" t="s">
        <v>719</v>
      </c>
      <c r="G78" s="48">
        <v>1.6579999999999999</v>
      </c>
      <c r="H78" s="48">
        <f t="shared" si="1"/>
        <v>6300.4</v>
      </c>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c r="AR78" s="50"/>
      <c r="AS78" s="50"/>
      <c r="AT78" s="50"/>
      <c r="AU78" s="50"/>
      <c r="AV78" s="50"/>
      <c r="AW78" s="50"/>
      <c r="AX78" s="50"/>
      <c r="AY78" s="50"/>
      <c r="AZ78" s="50"/>
      <c r="BA78" s="50"/>
      <c r="BB78" s="50"/>
      <c r="BC78" s="50"/>
      <c r="BD78" s="50"/>
      <c r="BE78" s="50"/>
      <c r="BF78" s="50"/>
    </row>
    <row r="79" spans="1:58" s="1" customFormat="1" ht="63.75">
      <c r="A79" s="1" t="s">
        <v>720</v>
      </c>
      <c r="B79" s="1" t="s">
        <v>680</v>
      </c>
      <c r="C79" s="1" t="s">
        <v>721</v>
      </c>
      <c r="D79" s="1" t="s">
        <v>702</v>
      </c>
      <c r="E79" s="1" t="s">
        <v>608</v>
      </c>
      <c r="F79" s="2" t="s">
        <v>387</v>
      </c>
      <c r="G79" s="48">
        <v>4.7249999999999996</v>
      </c>
      <c r="H79" s="48">
        <f t="shared" si="1"/>
        <v>944.99999999999989</v>
      </c>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0"/>
      <c r="AQ79" s="50"/>
      <c r="AR79" s="50"/>
      <c r="AS79" s="50"/>
      <c r="AT79" s="50"/>
      <c r="AU79" s="50"/>
      <c r="AV79" s="50"/>
      <c r="AW79" s="50"/>
      <c r="AX79" s="50"/>
      <c r="AY79" s="50"/>
      <c r="AZ79" s="50"/>
      <c r="BA79" s="50"/>
      <c r="BB79" s="50"/>
      <c r="BC79" s="50"/>
      <c r="BD79" s="50"/>
      <c r="BE79" s="50"/>
      <c r="BF79" s="50"/>
    </row>
    <row r="80" spans="1:58" s="1" customFormat="1" ht="63.75">
      <c r="A80" s="1" t="s">
        <v>722</v>
      </c>
      <c r="B80" s="1" t="s">
        <v>680</v>
      </c>
      <c r="C80" s="1" t="s">
        <v>723</v>
      </c>
      <c r="D80" s="1" t="s">
        <v>724</v>
      </c>
      <c r="E80" s="1" t="s">
        <v>585</v>
      </c>
      <c r="F80" s="2" t="s">
        <v>67</v>
      </c>
      <c r="G80" s="48">
        <v>47.25</v>
      </c>
      <c r="H80" s="48">
        <f t="shared" si="1"/>
        <v>945</v>
      </c>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50"/>
      <c r="BA80" s="50"/>
      <c r="BB80" s="50"/>
      <c r="BC80" s="50"/>
      <c r="BD80" s="50"/>
      <c r="BE80" s="50"/>
      <c r="BF80" s="50"/>
    </row>
    <row r="81" spans="1:58" s="1" customFormat="1" ht="63.75">
      <c r="A81" s="1" t="s">
        <v>725</v>
      </c>
      <c r="B81" s="1" t="s">
        <v>680</v>
      </c>
      <c r="C81" s="1" t="s">
        <v>723</v>
      </c>
      <c r="D81" s="1" t="s">
        <v>726</v>
      </c>
      <c r="E81" s="1" t="s">
        <v>516</v>
      </c>
      <c r="F81" s="2" t="s">
        <v>727</v>
      </c>
      <c r="G81" s="48">
        <v>1.72</v>
      </c>
      <c r="H81" s="48">
        <f t="shared" si="1"/>
        <v>19952</v>
      </c>
      <c r="I81" s="49">
        <f>H81+H82+H80</f>
        <v>22157</v>
      </c>
      <c r="J81" s="50" t="s">
        <v>1753</v>
      </c>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50"/>
      <c r="BA81" s="50"/>
      <c r="BB81" s="50"/>
      <c r="BC81" s="50"/>
      <c r="BD81" s="50"/>
      <c r="BE81" s="50"/>
      <c r="BF81" s="50"/>
    </row>
    <row r="82" spans="1:58" s="1" customFormat="1" ht="51">
      <c r="A82" s="1" t="s">
        <v>728</v>
      </c>
      <c r="B82" s="1" t="s">
        <v>680</v>
      </c>
      <c r="C82" s="1" t="s">
        <v>729</v>
      </c>
      <c r="D82" s="1" t="s">
        <v>730</v>
      </c>
      <c r="E82" s="1" t="s">
        <v>13</v>
      </c>
      <c r="F82" s="2" t="s">
        <v>731</v>
      </c>
      <c r="G82" s="48">
        <v>0.52500000000000002</v>
      </c>
      <c r="H82" s="48">
        <f t="shared" si="1"/>
        <v>1260</v>
      </c>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50"/>
      <c r="AU82" s="50"/>
      <c r="AV82" s="50"/>
      <c r="AW82" s="50"/>
      <c r="AX82" s="50"/>
      <c r="AY82" s="50"/>
      <c r="AZ82" s="50"/>
      <c r="BA82" s="50"/>
      <c r="BB82" s="50"/>
      <c r="BC82" s="50"/>
      <c r="BD82" s="50"/>
      <c r="BE82" s="50"/>
      <c r="BF82" s="50"/>
    </row>
    <row r="83" spans="1:58" s="1" customFormat="1" ht="51">
      <c r="A83" s="1" t="s">
        <v>732</v>
      </c>
      <c r="B83" s="1" t="s">
        <v>680</v>
      </c>
      <c r="C83" s="1" t="s">
        <v>733</v>
      </c>
      <c r="D83" s="1" t="s">
        <v>734</v>
      </c>
      <c r="E83" s="1" t="s">
        <v>516</v>
      </c>
      <c r="F83" s="2" t="s">
        <v>735</v>
      </c>
      <c r="G83" s="48">
        <v>2.4790000000000001</v>
      </c>
      <c r="H83" s="48">
        <f t="shared" si="1"/>
        <v>30243.800000000003</v>
      </c>
      <c r="I83" s="49">
        <f>H83+H86+H87+H88+H89</f>
        <v>70666.600000000006</v>
      </c>
      <c r="J83" s="50" t="s">
        <v>1751</v>
      </c>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50"/>
      <c r="AU83" s="50"/>
      <c r="AV83" s="50"/>
      <c r="AW83" s="50"/>
      <c r="AX83" s="50"/>
      <c r="AY83" s="50"/>
      <c r="AZ83" s="50"/>
      <c r="BA83" s="50"/>
      <c r="BB83" s="50"/>
      <c r="BC83" s="50"/>
      <c r="BD83" s="50"/>
      <c r="BE83" s="50"/>
      <c r="BF83" s="50"/>
    </row>
    <row r="84" spans="1:58" s="1" customFormat="1" ht="51">
      <c r="A84" s="1" t="s">
        <v>736</v>
      </c>
      <c r="B84" s="1" t="s">
        <v>680</v>
      </c>
      <c r="C84" s="1" t="s">
        <v>737</v>
      </c>
      <c r="D84" s="1" t="s">
        <v>738</v>
      </c>
      <c r="E84" s="1" t="s">
        <v>516</v>
      </c>
      <c r="F84" s="2" t="s">
        <v>739</v>
      </c>
      <c r="G84" s="48">
        <v>4.9409999999999998</v>
      </c>
      <c r="H84" s="48">
        <f t="shared" si="1"/>
        <v>8399.6999999999989</v>
      </c>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50"/>
      <c r="AN84" s="50"/>
      <c r="AO84" s="50"/>
      <c r="AP84" s="50"/>
      <c r="AQ84" s="50"/>
      <c r="AR84" s="50"/>
      <c r="AS84" s="50"/>
      <c r="AT84" s="50"/>
      <c r="AU84" s="50"/>
      <c r="AV84" s="50"/>
      <c r="AW84" s="50"/>
      <c r="AX84" s="50"/>
      <c r="AY84" s="50"/>
      <c r="AZ84" s="50"/>
      <c r="BA84" s="50"/>
      <c r="BB84" s="50"/>
      <c r="BC84" s="50"/>
      <c r="BD84" s="50"/>
      <c r="BE84" s="50"/>
      <c r="BF84" s="50"/>
    </row>
    <row r="85" spans="1:58" s="1" customFormat="1" ht="51">
      <c r="A85" s="1" t="s">
        <v>740</v>
      </c>
      <c r="B85" s="1" t="s">
        <v>680</v>
      </c>
      <c r="C85" s="1" t="s">
        <v>741</v>
      </c>
      <c r="D85" s="1" t="s">
        <v>738</v>
      </c>
      <c r="E85" s="1" t="s">
        <v>516</v>
      </c>
      <c r="F85" s="2" t="s">
        <v>742</v>
      </c>
      <c r="G85" s="48">
        <v>7</v>
      </c>
      <c r="H85" s="48">
        <f t="shared" si="1"/>
        <v>25200</v>
      </c>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0"/>
      <c r="AV85" s="50"/>
      <c r="AW85" s="50"/>
      <c r="AX85" s="50"/>
      <c r="AY85" s="50"/>
      <c r="AZ85" s="50"/>
      <c r="BA85" s="50"/>
      <c r="BB85" s="50"/>
      <c r="BC85" s="50"/>
      <c r="BD85" s="50"/>
      <c r="BE85" s="50"/>
      <c r="BF85" s="50"/>
    </row>
    <row r="86" spans="1:58" s="1" customFormat="1" ht="51">
      <c r="A86" s="1" t="s">
        <v>743</v>
      </c>
      <c r="B86" s="1" t="s">
        <v>680</v>
      </c>
      <c r="C86" s="1" t="s">
        <v>744</v>
      </c>
      <c r="D86" s="1" t="s">
        <v>734</v>
      </c>
      <c r="E86" s="1" t="s">
        <v>516</v>
      </c>
      <c r="F86" s="2" t="s">
        <v>694</v>
      </c>
      <c r="G86" s="48">
        <v>7.15</v>
      </c>
      <c r="H86" s="48">
        <f t="shared" si="1"/>
        <v>26455</v>
      </c>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0"/>
      <c r="AV86" s="50"/>
      <c r="AW86" s="50"/>
      <c r="AX86" s="50"/>
      <c r="AY86" s="50"/>
      <c r="AZ86" s="50"/>
      <c r="BA86" s="50"/>
      <c r="BB86" s="50"/>
      <c r="BC86" s="50"/>
      <c r="BD86" s="50"/>
      <c r="BE86" s="50"/>
      <c r="BF86" s="50"/>
    </row>
    <row r="87" spans="1:58" s="1" customFormat="1" ht="51">
      <c r="A87" s="1" t="s">
        <v>745</v>
      </c>
      <c r="B87" s="1" t="s">
        <v>680</v>
      </c>
      <c r="C87" s="1" t="s">
        <v>746</v>
      </c>
      <c r="D87" s="1" t="s">
        <v>734</v>
      </c>
      <c r="E87" s="1" t="s">
        <v>516</v>
      </c>
      <c r="F87" s="2" t="s">
        <v>697</v>
      </c>
      <c r="G87" s="48">
        <v>7.6360000000000001</v>
      </c>
      <c r="H87" s="48">
        <f t="shared" si="1"/>
        <v>4199.8</v>
      </c>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50"/>
      <c r="AS87" s="50"/>
      <c r="AT87" s="50"/>
      <c r="AU87" s="50"/>
      <c r="AV87" s="50"/>
      <c r="AW87" s="50"/>
      <c r="AX87" s="50"/>
      <c r="AY87" s="50"/>
      <c r="AZ87" s="50"/>
      <c r="BA87" s="50"/>
      <c r="BB87" s="50"/>
      <c r="BC87" s="50"/>
      <c r="BD87" s="50"/>
      <c r="BE87" s="50"/>
      <c r="BF87" s="50"/>
    </row>
    <row r="88" spans="1:58" s="1" customFormat="1" ht="51">
      <c r="A88" s="1" t="s">
        <v>747</v>
      </c>
      <c r="B88" s="1" t="s">
        <v>680</v>
      </c>
      <c r="C88" s="1" t="s">
        <v>748</v>
      </c>
      <c r="D88" s="1" t="s">
        <v>734</v>
      </c>
      <c r="E88" s="1" t="s">
        <v>516</v>
      </c>
      <c r="F88" s="2" t="s">
        <v>528</v>
      </c>
      <c r="G88" s="48">
        <v>8.4</v>
      </c>
      <c r="H88" s="48">
        <f t="shared" si="1"/>
        <v>5040</v>
      </c>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c r="AR88" s="50"/>
      <c r="AS88" s="50"/>
      <c r="AT88" s="50"/>
      <c r="AU88" s="50"/>
      <c r="AV88" s="50"/>
      <c r="AW88" s="50"/>
      <c r="AX88" s="50"/>
      <c r="AY88" s="50"/>
      <c r="AZ88" s="50"/>
      <c r="BA88" s="50"/>
      <c r="BB88" s="50"/>
      <c r="BC88" s="50"/>
      <c r="BD88" s="50"/>
      <c r="BE88" s="50"/>
      <c r="BF88" s="50"/>
    </row>
    <row r="89" spans="1:58" s="1" customFormat="1" ht="51">
      <c r="A89" s="1" t="s">
        <v>749</v>
      </c>
      <c r="B89" s="1" t="s">
        <v>680</v>
      </c>
      <c r="C89" s="1" t="s">
        <v>750</v>
      </c>
      <c r="D89" s="1" t="s">
        <v>734</v>
      </c>
      <c r="E89" s="1" t="s">
        <v>516</v>
      </c>
      <c r="F89" s="2" t="s">
        <v>528</v>
      </c>
      <c r="G89" s="48">
        <v>7.88</v>
      </c>
      <c r="H89" s="48">
        <f t="shared" si="1"/>
        <v>4728</v>
      </c>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c r="AR89" s="50"/>
      <c r="AS89" s="50"/>
      <c r="AT89" s="50"/>
      <c r="AU89" s="50"/>
      <c r="AV89" s="50"/>
      <c r="AW89" s="50"/>
      <c r="AX89" s="50"/>
      <c r="AY89" s="50"/>
      <c r="AZ89" s="50"/>
      <c r="BA89" s="50"/>
      <c r="BB89" s="50"/>
      <c r="BC89" s="50"/>
      <c r="BD89" s="50"/>
      <c r="BE89" s="50"/>
      <c r="BF89" s="50"/>
    </row>
    <row r="90" spans="1:58" s="1" customFormat="1" ht="51">
      <c r="A90" s="1" t="s">
        <v>751</v>
      </c>
      <c r="B90" s="1" t="s">
        <v>680</v>
      </c>
      <c r="C90" s="1" t="s">
        <v>752</v>
      </c>
      <c r="D90" s="1" t="s">
        <v>753</v>
      </c>
      <c r="E90" s="1" t="s">
        <v>585</v>
      </c>
      <c r="F90" s="2" t="s">
        <v>67</v>
      </c>
      <c r="G90" s="48">
        <v>36.75</v>
      </c>
      <c r="H90" s="48">
        <f t="shared" si="1"/>
        <v>735</v>
      </c>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c r="AZ90" s="50"/>
      <c r="BA90" s="50"/>
      <c r="BB90" s="50"/>
      <c r="BC90" s="50"/>
      <c r="BD90" s="50"/>
      <c r="BE90" s="50"/>
      <c r="BF90" s="50"/>
    </row>
    <row r="91" spans="1:58" s="1" customFormat="1" ht="51">
      <c r="A91" s="1" t="s">
        <v>754</v>
      </c>
      <c r="B91" s="1" t="s">
        <v>680</v>
      </c>
      <c r="C91" s="1" t="s">
        <v>755</v>
      </c>
      <c r="D91" s="1" t="s">
        <v>756</v>
      </c>
      <c r="E91" s="1" t="s">
        <v>585</v>
      </c>
      <c r="F91" s="2" t="s">
        <v>67</v>
      </c>
      <c r="G91" s="48">
        <v>42</v>
      </c>
      <c r="H91" s="48">
        <f t="shared" si="1"/>
        <v>840</v>
      </c>
      <c r="I91" s="49">
        <f>H91+H92+H93</f>
        <v>2730</v>
      </c>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c r="BB91" s="50"/>
      <c r="BC91" s="50"/>
      <c r="BD91" s="50"/>
      <c r="BE91" s="50"/>
      <c r="BF91" s="50"/>
    </row>
    <row r="92" spans="1:58" s="1" customFormat="1" ht="51">
      <c r="A92" s="1" t="s">
        <v>757</v>
      </c>
      <c r="B92" s="1" t="s">
        <v>680</v>
      </c>
      <c r="C92" s="1" t="s">
        <v>758</v>
      </c>
      <c r="D92" s="1" t="s">
        <v>759</v>
      </c>
      <c r="E92" s="1" t="s">
        <v>585</v>
      </c>
      <c r="F92" s="2" t="s">
        <v>67</v>
      </c>
      <c r="G92" s="48">
        <v>47.25</v>
      </c>
      <c r="H92" s="48">
        <f t="shared" si="1"/>
        <v>945</v>
      </c>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0"/>
      <c r="AV92" s="50"/>
      <c r="AW92" s="50"/>
      <c r="AX92" s="50"/>
      <c r="AY92" s="50"/>
      <c r="AZ92" s="50"/>
      <c r="BA92" s="50"/>
      <c r="BB92" s="50"/>
      <c r="BC92" s="50"/>
      <c r="BD92" s="50"/>
      <c r="BE92" s="50"/>
      <c r="BF92" s="50"/>
    </row>
    <row r="93" spans="1:58" s="1" customFormat="1" ht="63.75">
      <c r="A93" s="1" t="s">
        <v>760</v>
      </c>
      <c r="B93" s="1" t="s">
        <v>680</v>
      </c>
      <c r="C93" s="1" t="s">
        <v>761</v>
      </c>
      <c r="D93" s="1" t="s">
        <v>762</v>
      </c>
      <c r="E93" s="1" t="s">
        <v>585</v>
      </c>
      <c r="F93" s="2" t="s">
        <v>67</v>
      </c>
      <c r="G93" s="48">
        <v>47.25</v>
      </c>
      <c r="H93" s="48">
        <f t="shared" si="1"/>
        <v>945</v>
      </c>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AY93" s="50"/>
      <c r="AZ93" s="50"/>
      <c r="BA93" s="50"/>
      <c r="BB93" s="50"/>
      <c r="BC93" s="50"/>
      <c r="BD93" s="50"/>
      <c r="BE93" s="50"/>
      <c r="BF93" s="50"/>
    </row>
    <row r="94" spans="1:58" s="1" customFormat="1" ht="89.25">
      <c r="A94" s="1" t="s">
        <v>763</v>
      </c>
      <c r="B94" s="1" t="s">
        <v>680</v>
      </c>
      <c r="C94" s="1" t="s">
        <v>764</v>
      </c>
      <c r="D94" s="1" t="s">
        <v>765</v>
      </c>
      <c r="E94" s="1" t="s">
        <v>585</v>
      </c>
      <c r="F94" s="2" t="s">
        <v>67</v>
      </c>
      <c r="G94" s="48">
        <v>178.5</v>
      </c>
      <c r="H94" s="48">
        <f t="shared" si="1"/>
        <v>3570</v>
      </c>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0"/>
      <c r="AZ94" s="50"/>
      <c r="BA94" s="50"/>
      <c r="BB94" s="50"/>
      <c r="BC94" s="50"/>
      <c r="BD94" s="50"/>
      <c r="BE94" s="50"/>
      <c r="BF94" s="50"/>
    </row>
    <row r="95" spans="1:58" s="1" customFormat="1" ht="89.25">
      <c r="A95" s="1" t="s">
        <v>766</v>
      </c>
      <c r="B95" s="1" t="s">
        <v>680</v>
      </c>
      <c r="C95" s="1" t="s">
        <v>767</v>
      </c>
      <c r="D95" s="1" t="s">
        <v>768</v>
      </c>
      <c r="E95" s="1" t="s">
        <v>585</v>
      </c>
      <c r="F95" s="2" t="s">
        <v>67</v>
      </c>
      <c r="G95" s="48">
        <v>189</v>
      </c>
      <c r="H95" s="48">
        <f t="shared" si="1"/>
        <v>3780</v>
      </c>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c r="AZ95" s="50"/>
      <c r="BA95" s="50"/>
      <c r="BB95" s="50"/>
      <c r="BC95" s="50"/>
      <c r="BD95" s="50"/>
      <c r="BE95" s="50"/>
      <c r="BF95" s="50"/>
    </row>
    <row r="96" spans="1:58" s="1" customFormat="1" ht="114.75">
      <c r="A96" s="1" t="s">
        <v>769</v>
      </c>
      <c r="B96" s="1" t="s">
        <v>680</v>
      </c>
      <c r="C96" s="1" t="s">
        <v>770</v>
      </c>
      <c r="D96" s="1" t="s">
        <v>557</v>
      </c>
      <c r="E96" s="1" t="s">
        <v>13</v>
      </c>
      <c r="F96" s="2" t="s">
        <v>14</v>
      </c>
      <c r="G96" s="48">
        <v>0</v>
      </c>
      <c r="H96" s="48">
        <f t="shared" si="1"/>
        <v>0</v>
      </c>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c r="AZ96" s="50"/>
      <c r="BA96" s="50"/>
      <c r="BB96" s="50"/>
      <c r="BC96" s="50"/>
      <c r="BD96" s="50"/>
      <c r="BE96" s="50"/>
      <c r="BF96" s="50"/>
    </row>
    <row r="97" spans="1:58" s="1" customFormat="1" ht="153">
      <c r="A97" s="1" t="s">
        <v>771</v>
      </c>
      <c r="B97" s="1" t="s">
        <v>680</v>
      </c>
      <c r="C97" s="1" t="s">
        <v>772</v>
      </c>
      <c r="D97" s="1" t="s">
        <v>557</v>
      </c>
      <c r="E97" s="1" t="s">
        <v>13</v>
      </c>
      <c r="F97" s="2" t="s">
        <v>14</v>
      </c>
      <c r="G97" s="48">
        <v>0</v>
      </c>
      <c r="H97" s="48">
        <f t="shared" si="1"/>
        <v>0</v>
      </c>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0"/>
      <c r="AV97" s="50"/>
      <c r="AW97" s="50"/>
      <c r="AX97" s="50"/>
      <c r="AY97" s="50"/>
      <c r="AZ97" s="50"/>
      <c r="BA97" s="50"/>
      <c r="BB97" s="50"/>
      <c r="BC97" s="50"/>
      <c r="BD97" s="50"/>
      <c r="BE97" s="50"/>
      <c r="BF97" s="50"/>
    </row>
    <row r="98" spans="1:58" s="1" customFormat="1" ht="140.25">
      <c r="A98" s="1" t="s">
        <v>773</v>
      </c>
      <c r="B98" s="1" t="s">
        <v>680</v>
      </c>
      <c r="C98" s="1" t="s">
        <v>561</v>
      </c>
      <c r="D98" s="1" t="s">
        <v>557</v>
      </c>
      <c r="E98" s="1" t="s">
        <v>13</v>
      </c>
      <c r="F98" s="2" t="s">
        <v>14</v>
      </c>
      <c r="G98" s="48">
        <v>0</v>
      </c>
      <c r="H98" s="48">
        <f t="shared" si="1"/>
        <v>0</v>
      </c>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0"/>
      <c r="AV98" s="50"/>
      <c r="AW98" s="50"/>
      <c r="AX98" s="50"/>
      <c r="AY98" s="50"/>
      <c r="AZ98" s="50"/>
      <c r="BA98" s="50"/>
      <c r="BB98" s="50"/>
      <c r="BC98" s="50"/>
      <c r="BD98" s="50"/>
      <c r="BE98" s="50"/>
      <c r="BF98" s="50"/>
    </row>
    <row r="99" spans="1:58" s="1" customFormat="1" ht="38.25">
      <c r="A99" s="1" t="s">
        <v>9</v>
      </c>
      <c r="B99" s="1" t="s">
        <v>774</v>
      </c>
      <c r="C99" s="1" t="s">
        <v>775</v>
      </c>
      <c r="D99" s="1" t="s">
        <v>776</v>
      </c>
      <c r="E99" s="1" t="s">
        <v>13</v>
      </c>
      <c r="F99" s="2" t="s">
        <v>14</v>
      </c>
      <c r="G99" s="48">
        <v>0</v>
      </c>
      <c r="H99" s="48">
        <f t="shared" si="1"/>
        <v>0</v>
      </c>
      <c r="I99" s="49">
        <f>H100+H101+H102+H103+H104+H105+H106+H107+H108+H109+H111+H112+H113+H114+H115+H116+H117+H118+H119+H120+H121+H122+H123+H124</f>
        <v>46576.86</v>
      </c>
      <c r="J99" s="50" t="s">
        <v>1754</v>
      </c>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c r="AY99" s="50"/>
      <c r="AZ99" s="50"/>
      <c r="BA99" s="50"/>
      <c r="BB99" s="50"/>
      <c r="BC99" s="50"/>
      <c r="BD99" s="50"/>
      <c r="BE99" s="50"/>
      <c r="BF99" s="50"/>
    </row>
    <row r="100" spans="1:58" s="1" customFormat="1" ht="38.25">
      <c r="A100" s="1" t="s">
        <v>15</v>
      </c>
      <c r="B100" s="1" t="s">
        <v>774</v>
      </c>
      <c r="C100" s="1" t="s">
        <v>775</v>
      </c>
      <c r="D100" s="1" t="s">
        <v>777</v>
      </c>
      <c r="E100" s="1" t="s">
        <v>608</v>
      </c>
      <c r="F100" s="2" t="s">
        <v>778</v>
      </c>
      <c r="G100" s="48">
        <v>6.9749999999999996</v>
      </c>
      <c r="H100" s="48">
        <f t="shared" si="1"/>
        <v>7812</v>
      </c>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c r="AY100" s="50"/>
      <c r="AZ100" s="50"/>
      <c r="BA100" s="50"/>
      <c r="BB100" s="50"/>
      <c r="BC100" s="50"/>
      <c r="BD100" s="50"/>
      <c r="BE100" s="50"/>
      <c r="BF100" s="50"/>
    </row>
    <row r="101" spans="1:58" s="1" customFormat="1" ht="38.25">
      <c r="A101" s="1" t="s">
        <v>19</v>
      </c>
      <c r="B101" s="1" t="s">
        <v>774</v>
      </c>
      <c r="C101" s="1" t="s">
        <v>775</v>
      </c>
      <c r="D101" s="1" t="s">
        <v>779</v>
      </c>
      <c r="E101" s="1" t="s">
        <v>608</v>
      </c>
      <c r="F101" s="2" t="s">
        <v>780</v>
      </c>
      <c r="G101" s="48">
        <v>4.7249999999999996</v>
      </c>
      <c r="H101" s="48">
        <f t="shared" si="1"/>
        <v>1512</v>
      </c>
      <c r="I101" s="49">
        <f>SUM(H52:H101)</f>
        <v>423092.96</v>
      </c>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c r="AZ101" s="50"/>
      <c r="BA101" s="50"/>
      <c r="BB101" s="50"/>
      <c r="BC101" s="50"/>
      <c r="BD101" s="50"/>
      <c r="BE101" s="50"/>
      <c r="BF101" s="50"/>
    </row>
    <row r="102" spans="1:58" s="1" customFormat="1" ht="38.25">
      <c r="A102" s="1" t="s">
        <v>23</v>
      </c>
      <c r="B102" s="1" t="s">
        <v>774</v>
      </c>
      <c r="C102" s="1" t="s">
        <v>775</v>
      </c>
      <c r="D102" s="1" t="s">
        <v>781</v>
      </c>
      <c r="E102" s="1" t="s">
        <v>608</v>
      </c>
      <c r="F102" s="2" t="s">
        <v>528</v>
      </c>
      <c r="G102" s="48">
        <v>4.41</v>
      </c>
      <c r="H102" s="48">
        <f t="shared" si="1"/>
        <v>2646</v>
      </c>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c r="AZ102" s="50"/>
      <c r="BA102" s="50"/>
      <c r="BB102" s="50"/>
      <c r="BC102" s="50"/>
      <c r="BD102" s="50"/>
      <c r="BE102" s="50"/>
      <c r="BF102" s="50"/>
    </row>
    <row r="103" spans="1:58" s="1" customFormat="1" ht="38.25">
      <c r="A103" s="1" t="s">
        <v>25</v>
      </c>
      <c r="B103" s="1" t="s">
        <v>774</v>
      </c>
      <c r="C103" s="1" t="s">
        <v>775</v>
      </c>
      <c r="D103" s="1" t="s">
        <v>782</v>
      </c>
      <c r="E103" s="1" t="s">
        <v>608</v>
      </c>
      <c r="F103" s="2" t="s">
        <v>783</v>
      </c>
      <c r="G103" s="48">
        <v>4.78</v>
      </c>
      <c r="H103" s="48">
        <f t="shared" si="1"/>
        <v>2772.4</v>
      </c>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c r="AY103" s="50"/>
      <c r="AZ103" s="50"/>
      <c r="BA103" s="50"/>
      <c r="BB103" s="50"/>
      <c r="BC103" s="50"/>
      <c r="BD103" s="50"/>
      <c r="BE103" s="50"/>
      <c r="BF103" s="50"/>
    </row>
    <row r="104" spans="1:58" s="1" customFormat="1" ht="38.25">
      <c r="A104" s="1" t="s">
        <v>30</v>
      </c>
      <c r="B104" s="1" t="s">
        <v>774</v>
      </c>
      <c r="C104" s="1" t="s">
        <v>775</v>
      </c>
      <c r="D104" s="1" t="s">
        <v>784</v>
      </c>
      <c r="E104" s="1" t="s">
        <v>608</v>
      </c>
      <c r="F104" s="2" t="s">
        <v>387</v>
      </c>
      <c r="G104" s="48">
        <v>10.5</v>
      </c>
      <c r="H104" s="48">
        <f t="shared" si="1"/>
        <v>2100</v>
      </c>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c r="AV104" s="50"/>
      <c r="AW104" s="50"/>
      <c r="AX104" s="50"/>
      <c r="AY104" s="50"/>
      <c r="AZ104" s="50"/>
      <c r="BA104" s="50"/>
      <c r="BB104" s="50"/>
      <c r="BC104" s="50"/>
      <c r="BD104" s="50"/>
      <c r="BE104" s="50"/>
      <c r="BF104" s="50"/>
    </row>
    <row r="105" spans="1:58" s="1" customFormat="1" ht="25.5">
      <c r="A105" s="1" t="s">
        <v>32</v>
      </c>
      <c r="B105" s="1" t="s">
        <v>774</v>
      </c>
      <c r="C105" s="1" t="s">
        <v>785</v>
      </c>
      <c r="D105" s="1" t="s">
        <v>786</v>
      </c>
      <c r="E105" s="1" t="s">
        <v>585</v>
      </c>
      <c r="F105" s="2" t="s">
        <v>238</v>
      </c>
      <c r="G105" s="48">
        <v>2.1</v>
      </c>
      <c r="H105" s="48">
        <f t="shared" si="1"/>
        <v>168</v>
      </c>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c r="AY105" s="50"/>
      <c r="AZ105" s="50"/>
      <c r="BA105" s="50"/>
      <c r="BB105" s="50"/>
      <c r="BC105" s="50"/>
      <c r="BD105" s="50"/>
      <c r="BE105" s="50"/>
      <c r="BF105" s="50"/>
    </row>
    <row r="106" spans="1:58" s="1" customFormat="1" ht="25.5">
      <c r="A106" s="1" t="s">
        <v>34</v>
      </c>
      <c r="B106" s="1" t="s">
        <v>774</v>
      </c>
      <c r="C106" s="1" t="s">
        <v>787</v>
      </c>
      <c r="D106" s="1" t="s">
        <v>788</v>
      </c>
      <c r="E106" s="1" t="s">
        <v>585</v>
      </c>
      <c r="F106" s="2" t="s">
        <v>650</v>
      </c>
      <c r="G106" s="48">
        <v>2.625</v>
      </c>
      <c r="H106" s="48">
        <f t="shared" si="1"/>
        <v>420</v>
      </c>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c r="AV106" s="50"/>
      <c r="AW106" s="50"/>
      <c r="AX106" s="50"/>
      <c r="AY106" s="50"/>
      <c r="AZ106" s="50"/>
      <c r="BA106" s="50"/>
      <c r="BB106" s="50"/>
      <c r="BC106" s="50"/>
      <c r="BD106" s="50"/>
      <c r="BE106" s="50"/>
      <c r="BF106" s="50"/>
    </row>
    <row r="107" spans="1:58" s="1" customFormat="1" ht="63.75">
      <c r="A107" s="1" t="s">
        <v>36</v>
      </c>
      <c r="B107" s="1" t="s">
        <v>774</v>
      </c>
      <c r="C107" s="1" t="s">
        <v>789</v>
      </c>
      <c r="D107" s="1" t="s">
        <v>790</v>
      </c>
      <c r="E107" s="1" t="s">
        <v>585</v>
      </c>
      <c r="F107" s="2" t="s">
        <v>297</v>
      </c>
      <c r="G107" s="48">
        <v>58.8</v>
      </c>
      <c r="H107" s="48">
        <f t="shared" si="1"/>
        <v>5880</v>
      </c>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c r="AZ107" s="50"/>
      <c r="BA107" s="50"/>
      <c r="BB107" s="50"/>
      <c r="BC107" s="50"/>
      <c r="BD107" s="50"/>
      <c r="BE107" s="50"/>
      <c r="BF107" s="50"/>
    </row>
    <row r="108" spans="1:58" s="1" customFormat="1" ht="25.5">
      <c r="A108" s="1" t="s">
        <v>39</v>
      </c>
      <c r="B108" s="1" t="s">
        <v>774</v>
      </c>
      <c r="C108" s="1" t="s">
        <v>791</v>
      </c>
      <c r="D108" s="1" t="s">
        <v>792</v>
      </c>
      <c r="E108" s="1" t="s">
        <v>585</v>
      </c>
      <c r="F108" s="2" t="s">
        <v>793</v>
      </c>
      <c r="G108" s="48">
        <v>45.4</v>
      </c>
      <c r="H108" s="48">
        <f t="shared" si="1"/>
        <v>8399</v>
      </c>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0"/>
      <c r="AZ108" s="50"/>
      <c r="BA108" s="50"/>
      <c r="BB108" s="50"/>
      <c r="BC108" s="50"/>
      <c r="BD108" s="50"/>
      <c r="BE108" s="50"/>
      <c r="BF108" s="50"/>
    </row>
    <row r="109" spans="1:58" s="1" customFormat="1" ht="25.5">
      <c r="A109" s="1" t="s">
        <v>41</v>
      </c>
      <c r="B109" s="1" t="s">
        <v>774</v>
      </c>
      <c r="C109" s="1" t="s">
        <v>794</v>
      </c>
      <c r="D109" s="1" t="s">
        <v>795</v>
      </c>
      <c r="E109" s="1" t="s">
        <v>585</v>
      </c>
      <c r="F109" s="2" t="s">
        <v>793</v>
      </c>
      <c r="G109" s="48">
        <v>55.62</v>
      </c>
      <c r="H109" s="48">
        <f t="shared" si="1"/>
        <v>10289.699999999999</v>
      </c>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c r="AV109" s="50"/>
      <c r="AW109" s="50"/>
      <c r="AX109" s="50"/>
      <c r="AY109" s="50"/>
      <c r="AZ109" s="50"/>
      <c r="BA109" s="50"/>
      <c r="BB109" s="50"/>
      <c r="BC109" s="50"/>
      <c r="BD109" s="50"/>
      <c r="BE109" s="50"/>
      <c r="BF109" s="50"/>
    </row>
    <row r="110" spans="1:58" s="1" customFormat="1" ht="255">
      <c r="A110" s="1" t="s">
        <v>43</v>
      </c>
      <c r="B110" s="1" t="s">
        <v>774</v>
      </c>
      <c r="C110" s="1" t="s">
        <v>796</v>
      </c>
      <c r="D110" s="1" t="s">
        <v>797</v>
      </c>
      <c r="E110" s="1" t="s">
        <v>585</v>
      </c>
      <c r="F110" s="2" t="s">
        <v>67</v>
      </c>
      <c r="G110" s="48">
        <v>945</v>
      </c>
      <c r="H110" s="48">
        <f t="shared" si="1"/>
        <v>18900</v>
      </c>
      <c r="I110" s="49">
        <f>H110+H91</f>
        <v>19740</v>
      </c>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c r="AY110" s="50"/>
      <c r="AZ110" s="50"/>
      <c r="BA110" s="50"/>
      <c r="BB110" s="50"/>
      <c r="BC110" s="50"/>
      <c r="BD110" s="50"/>
      <c r="BE110" s="50"/>
      <c r="BF110" s="50"/>
    </row>
    <row r="111" spans="1:58" s="1" customFormat="1" ht="51">
      <c r="A111" s="1" t="s">
        <v>45</v>
      </c>
      <c r="B111" s="1" t="s">
        <v>798</v>
      </c>
      <c r="C111" s="1" t="s">
        <v>799</v>
      </c>
      <c r="D111" s="1" t="s">
        <v>800</v>
      </c>
      <c r="E111" s="1" t="s">
        <v>585</v>
      </c>
      <c r="F111" s="2" t="s">
        <v>297</v>
      </c>
      <c r="G111" s="48">
        <v>15.75</v>
      </c>
      <c r="H111" s="48">
        <f t="shared" si="1"/>
        <v>1575</v>
      </c>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c r="BB111" s="50"/>
      <c r="BC111" s="50"/>
      <c r="BD111" s="50"/>
      <c r="BE111" s="50"/>
      <c r="BF111" s="50"/>
    </row>
    <row r="112" spans="1:58" s="1" customFormat="1" ht="51">
      <c r="A112" s="1" t="s">
        <v>47</v>
      </c>
      <c r="B112" s="1" t="s">
        <v>798</v>
      </c>
      <c r="C112" s="1" t="s">
        <v>801</v>
      </c>
      <c r="D112" s="1" t="s">
        <v>802</v>
      </c>
      <c r="E112" s="1" t="s">
        <v>585</v>
      </c>
      <c r="F112" s="2" t="s">
        <v>238</v>
      </c>
      <c r="G112" s="48">
        <v>15.75</v>
      </c>
      <c r="H112" s="48">
        <f t="shared" si="1"/>
        <v>1260</v>
      </c>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0"/>
      <c r="AV112" s="50"/>
      <c r="AW112" s="50"/>
      <c r="AX112" s="50"/>
      <c r="AY112" s="50"/>
      <c r="AZ112" s="50"/>
      <c r="BA112" s="50"/>
      <c r="BB112" s="50"/>
      <c r="BC112" s="50"/>
      <c r="BD112" s="50"/>
      <c r="BE112" s="50"/>
      <c r="BF112" s="50"/>
    </row>
    <row r="113" spans="1:58" s="1" customFormat="1" ht="63.75">
      <c r="A113" s="1" t="s">
        <v>51</v>
      </c>
      <c r="B113" s="1" t="s">
        <v>798</v>
      </c>
      <c r="C113" s="1" t="s">
        <v>803</v>
      </c>
      <c r="D113" s="1" t="s">
        <v>804</v>
      </c>
      <c r="E113" s="1" t="s">
        <v>585</v>
      </c>
      <c r="F113" s="2" t="s">
        <v>67</v>
      </c>
      <c r="G113" s="48">
        <v>2.1</v>
      </c>
      <c r="H113" s="48">
        <f t="shared" si="1"/>
        <v>42</v>
      </c>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c r="AZ113" s="50"/>
      <c r="BA113" s="50"/>
      <c r="BB113" s="50"/>
      <c r="BC113" s="50"/>
      <c r="BD113" s="50"/>
      <c r="BE113" s="50"/>
      <c r="BF113" s="50"/>
    </row>
    <row r="114" spans="1:58" s="1" customFormat="1" ht="76.5">
      <c r="A114" s="1" t="s">
        <v>55</v>
      </c>
      <c r="B114" s="1" t="s">
        <v>798</v>
      </c>
      <c r="C114" s="1" t="s">
        <v>805</v>
      </c>
      <c r="D114" s="1" t="s">
        <v>806</v>
      </c>
      <c r="E114" s="1" t="s">
        <v>585</v>
      </c>
      <c r="F114" s="2" t="s">
        <v>297</v>
      </c>
      <c r="G114" s="48">
        <v>1.05</v>
      </c>
      <c r="H114" s="48">
        <f t="shared" si="1"/>
        <v>105</v>
      </c>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c r="AY114" s="50"/>
      <c r="AZ114" s="50"/>
      <c r="BA114" s="50"/>
      <c r="BB114" s="50"/>
      <c r="BC114" s="50"/>
      <c r="BD114" s="50"/>
      <c r="BE114" s="50"/>
      <c r="BF114" s="50"/>
    </row>
    <row r="115" spans="1:58" s="1" customFormat="1" ht="38.25">
      <c r="A115" s="1" t="s">
        <v>57</v>
      </c>
      <c r="B115" s="1" t="s">
        <v>798</v>
      </c>
      <c r="C115" s="1" t="s">
        <v>807</v>
      </c>
      <c r="D115" s="1" t="s">
        <v>808</v>
      </c>
      <c r="E115" s="1" t="s">
        <v>585</v>
      </c>
      <c r="F115" s="2" t="s">
        <v>297</v>
      </c>
      <c r="G115" s="48">
        <v>1.05</v>
      </c>
      <c r="H115" s="48">
        <f t="shared" si="1"/>
        <v>105</v>
      </c>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c r="AZ115" s="50"/>
      <c r="BA115" s="50"/>
      <c r="BB115" s="50"/>
      <c r="BC115" s="50"/>
      <c r="BD115" s="50"/>
      <c r="BE115" s="50"/>
      <c r="BF115" s="50"/>
    </row>
    <row r="116" spans="1:58" s="1" customFormat="1" ht="38.25">
      <c r="A116" s="1" t="s">
        <v>60</v>
      </c>
      <c r="B116" s="1" t="s">
        <v>798</v>
      </c>
      <c r="C116" s="1" t="s">
        <v>809</v>
      </c>
      <c r="D116" s="1" t="s">
        <v>810</v>
      </c>
      <c r="E116" s="1" t="s">
        <v>585</v>
      </c>
      <c r="F116" s="2" t="s">
        <v>811</v>
      </c>
      <c r="G116" s="48">
        <v>1.05</v>
      </c>
      <c r="H116" s="48">
        <f t="shared" si="1"/>
        <v>189</v>
      </c>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c r="AY116" s="50"/>
      <c r="AZ116" s="50"/>
      <c r="BA116" s="50"/>
      <c r="BB116" s="50"/>
      <c r="BC116" s="50"/>
      <c r="BD116" s="50"/>
      <c r="BE116" s="50"/>
      <c r="BF116" s="50"/>
    </row>
    <row r="117" spans="1:58" s="1" customFormat="1" ht="38.25">
      <c r="A117" s="1" t="s">
        <v>64</v>
      </c>
      <c r="B117" s="1" t="s">
        <v>798</v>
      </c>
      <c r="C117" s="1" t="s">
        <v>812</v>
      </c>
      <c r="D117" s="1" t="s">
        <v>813</v>
      </c>
      <c r="E117" s="1" t="s">
        <v>585</v>
      </c>
      <c r="F117" s="2" t="s">
        <v>67</v>
      </c>
      <c r="G117" s="48">
        <v>2.1</v>
      </c>
      <c r="H117" s="48">
        <f t="shared" si="1"/>
        <v>42</v>
      </c>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c r="AZ117" s="50"/>
      <c r="BA117" s="50"/>
      <c r="BB117" s="50"/>
      <c r="BC117" s="50"/>
      <c r="BD117" s="50"/>
      <c r="BE117" s="50"/>
      <c r="BF117" s="50"/>
    </row>
    <row r="118" spans="1:58" s="1" customFormat="1" ht="38.25">
      <c r="A118" s="1" t="s">
        <v>68</v>
      </c>
      <c r="B118" s="1" t="s">
        <v>798</v>
      </c>
      <c r="C118" s="1" t="s">
        <v>814</v>
      </c>
      <c r="D118" s="1" t="s">
        <v>815</v>
      </c>
      <c r="E118" s="1" t="s">
        <v>585</v>
      </c>
      <c r="F118" s="2" t="s">
        <v>297</v>
      </c>
      <c r="G118" s="48">
        <v>1.05</v>
      </c>
      <c r="H118" s="48">
        <f t="shared" si="1"/>
        <v>105</v>
      </c>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c r="AZ118" s="50"/>
      <c r="BA118" s="50"/>
      <c r="BB118" s="50"/>
      <c r="BC118" s="50"/>
      <c r="BD118" s="50"/>
      <c r="BE118" s="50"/>
      <c r="BF118" s="50"/>
    </row>
    <row r="119" spans="1:58" s="1" customFormat="1" ht="38.25">
      <c r="A119" s="1" t="s">
        <v>71</v>
      </c>
      <c r="B119" s="1" t="s">
        <v>798</v>
      </c>
      <c r="C119" s="1" t="s">
        <v>816</v>
      </c>
      <c r="D119" s="1" t="s">
        <v>817</v>
      </c>
      <c r="E119" s="1" t="s">
        <v>585</v>
      </c>
      <c r="F119" s="2" t="s">
        <v>818</v>
      </c>
      <c r="G119" s="48">
        <v>1.05</v>
      </c>
      <c r="H119" s="48">
        <f t="shared" si="1"/>
        <v>147</v>
      </c>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c r="AY119" s="50"/>
      <c r="AZ119" s="50"/>
      <c r="BA119" s="50"/>
      <c r="BB119" s="50"/>
      <c r="BC119" s="50"/>
      <c r="BD119" s="50"/>
      <c r="BE119" s="50"/>
      <c r="BF119" s="50"/>
    </row>
    <row r="120" spans="1:58" s="1" customFormat="1" ht="38.25">
      <c r="A120" s="1" t="s">
        <v>73</v>
      </c>
      <c r="B120" s="1" t="s">
        <v>798</v>
      </c>
      <c r="C120" s="1" t="s">
        <v>819</v>
      </c>
      <c r="D120" s="1" t="s">
        <v>820</v>
      </c>
      <c r="E120" s="1" t="s">
        <v>585</v>
      </c>
      <c r="F120" s="2" t="s">
        <v>811</v>
      </c>
      <c r="G120" s="48">
        <v>1.05</v>
      </c>
      <c r="H120" s="48">
        <f t="shared" si="1"/>
        <v>189</v>
      </c>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c r="AZ120" s="50"/>
      <c r="BA120" s="50"/>
      <c r="BB120" s="50"/>
      <c r="BC120" s="50"/>
      <c r="BD120" s="50"/>
      <c r="BE120" s="50"/>
      <c r="BF120" s="50"/>
    </row>
    <row r="121" spans="1:58" s="1" customFormat="1" ht="38.25">
      <c r="A121" s="1" t="s">
        <v>76</v>
      </c>
      <c r="B121" s="1" t="s">
        <v>798</v>
      </c>
      <c r="C121" s="1" t="s">
        <v>822</v>
      </c>
      <c r="D121" s="1" t="s">
        <v>823</v>
      </c>
      <c r="E121" s="1" t="s">
        <v>585</v>
      </c>
      <c r="F121" s="2" t="s">
        <v>297</v>
      </c>
      <c r="G121" s="48">
        <v>1.05</v>
      </c>
      <c r="H121" s="48">
        <f t="shared" si="1"/>
        <v>105</v>
      </c>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0"/>
      <c r="AV121" s="50"/>
      <c r="AW121" s="50"/>
      <c r="AX121" s="50"/>
      <c r="AY121" s="50"/>
      <c r="AZ121" s="50"/>
      <c r="BA121" s="50"/>
      <c r="BB121" s="50"/>
      <c r="BC121" s="50"/>
      <c r="BD121" s="50"/>
      <c r="BE121" s="50"/>
      <c r="BF121" s="50"/>
    </row>
    <row r="122" spans="1:58" s="1" customFormat="1" ht="38.25">
      <c r="A122" s="1" t="s">
        <v>79</v>
      </c>
      <c r="B122" s="1" t="s">
        <v>798</v>
      </c>
      <c r="C122" s="1" t="s">
        <v>824</v>
      </c>
      <c r="D122" s="1" t="s">
        <v>825</v>
      </c>
      <c r="E122" s="1" t="s">
        <v>585</v>
      </c>
      <c r="F122" s="2" t="s">
        <v>818</v>
      </c>
      <c r="G122" s="48">
        <v>0.6</v>
      </c>
      <c r="H122" s="48">
        <f t="shared" si="1"/>
        <v>84</v>
      </c>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c r="AV122" s="50"/>
      <c r="AW122" s="50"/>
      <c r="AX122" s="50"/>
      <c r="AY122" s="50"/>
      <c r="AZ122" s="50"/>
      <c r="BA122" s="50"/>
      <c r="BB122" s="50"/>
      <c r="BC122" s="50"/>
      <c r="BD122" s="50"/>
      <c r="BE122" s="50"/>
      <c r="BF122" s="50"/>
    </row>
    <row r="123" spans="1:58" s="1" customFormat="1" ht="51">
      <c r="A123" s="1" t="s">
        <v>82</v>
      </c>
      <c r="B123" s="1" t="s">
        <v>826</v>
      </c>
      <c r="C123" s="1" t="s">
        <v>827</v>
      </c>
      <c r="D123" s="1" t="s">
        <v>828</v>
      </c>
      <c r="E123" s="1" t="s">
        <v>13</v>
      </c>
      <c r="F123" s="2" t="s">
        <v>14</v>
      </c>
      <c r="G123" s="48">
        <v>0</v>
      </c>
      <c r="H123" s="48">
        <f t="shared" si="1"/>
        <v>0</v>
      </c>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c r="BC123" s="50"/>
      <c r="BD123" s="50"/>
      <c r="BE123" s="50"/>
      <c r="BF123" s="50"/>
    </row>
    <row r="124" spans="1:58" s="1" customFormat="1" ht="51">
      <c r="A124" s="1" t="s">
        <v>85</v>
      </c>
      <c r="B124" s="1" t="s">
        <v>826</v>
      </c>
      <c r="C124" s="1" t="s">
        <v>829</v>
      </c>
      <c r="D124" s="1" t="s">
        <v>830</v>
      </c>
      <c r="E124" s="1" t="s">
        <v>608</v>
      </c>
      <c r="F124" s="2" t="s">
        <v>831</v>
      </c>
      <c r="G124" s="48">
        <v>0.51200000000000001</v>
      </c>
      <c r="H124" s="48">
        <f t="shared" si="1"/>
        <v>629.76</v>
      </c>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c r="AV124" s="50"/>
      <c r="AW124" s="50"/>
      <c r="AX124" s="50"/>
      <c r="AY124" s="50"/>
      <c r="AZ124" s="50"/>
      <c r="BA124" s="50"/>
      <c r="BB124" s="50"/>
      <c r="BC124" s="50"/>
      <c r="BD124" s="50"/>
      <c r="BE124" s="50"/>
      <c r="BF124" s="50"/>
    </row>
    <row r="125" spans="1:58" s="1" customFormat="1" ht="153">
      <c r="A125" s="1" t="s">
        <v>87</v>
      </c>
      <c r="B125" s="1" t="s">
        <v>832</v>
      </c>
      <c r="C125" s="1" t="s">
        <v>833</v>
      </c>
      <c r="D125" s="1" t="s">
        <v>834</v>
      </c>
      <c r="E125" s="1" t="s">
        <v>13</v>
      </c>
      <c r="F125" s="2" t="s">
        <v>14</v>
      </c>
      <c r="G125" s="48">
        <v>0</v>
      </c>
      <c r="H125" s="48">
        <f t="shared" si="1"/>
        <v>0</v>
      </c>
      <c r="I125" s="49">
        <f>SUM(H125:H156)</f>
        <v>27713.5</v>
      </c>
      <c r="J125" s="50" t="s">
        <v>1755</v>
      </c>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50"/>
      <c r="AY125" s="50"/>
      <c r="AZ125" s="50"/>
      <c r="BA125" s="50"/>
      <c r="BB125" s="50"/>
      <c r="BC125" s="50"/>
      <c r="BD125" s="50"/>
      <c r="BE125" s="50"/>
      <c r="BF125" s="50"/>
    </row>
    <row r="126" spans="1:58" s="1" customFormat="1" ht="25.5">
      <c r="A126" s="1" t="s">
        <v>90</v>
      </c>
      <c r="B126" s="1" t="s">
        <v>832</v>
      </c>
      <c r="C126" s="1" t="s">
        <v>835</v>
      </c>
      <c r="D126" s="1" t="s">
        <v>836</v>
      </c>
      <c r="E126" s="1" t="s">
        <v>608</v>
      </c>
      <c r="F126" s="2" t="s">
        <v>566</v>
      </c>
      <c r="G126" s="48">
        <v>0.9</v>
      </c>
      <c r="H126" s="48">
        <f t="shared" si="1"/>
        <v>1260</v>
      </c>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c r="AZ126" s="50"/>
      <c r="BA126" s="50"/>
      <c r="BB126" s="50"/>
      <c r="BC126" s="50"/>
      <c r="BD126" s="50"/>
      <c r="BE126" s="50"/>
      <c r="BF126" s="50"/>
    </row>
    <row r="127" spans="1:58" s="1" customFormat="1" ht="25.5">
      <c r="A127" s="1" t="s">
        <v>92</v>
      </c>
      <c r="B127" s="1" t="s">
        <v>832</v>
      </c>
      <c r="C127" s="1" t="s">
        <v>835</v>
      </c>
      <c r="D127" s="1" t="s">
        <v>837</v>
      </c>
      <c r="E127" s="1" t="s">
        <v>608</v>
      </c>
      <c r="F127" s="2" t="s">
        <v>838</v>
      </c>
      <c r="G127" s="48">
        <v>0.46</v>
      </c>
      <c r="H127" s="48">
        <f t="shared" si="1"/>
        <v>1012</v>
      </c>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c r="AY127" s="50"/>
      <c r="AZ127" s="50"/>
      <c r="BA127" s="50"/>
      <c r="BB127" s="50"/>
      <c r="BC127" s="50"/>
      <c r="BD127" s="50"/>
      <c r="BE127" s="50"/>
      <c r="BF127" s="50"/>
    </row>
    <row r="128" spans="1:58" s="1" customFormat="1" ht="25.5">
      <c r="A128" s="1" t="s">
        <v>95</v>
      </c>
      <c r="B128" s="1" t="s">
        <v>832</v>
      </c>
      <c r="C128" s="1" t="s">
        <v>835</v>
      </c>
      <c r="D128" s="1" t="s">
        <v>839</v>
      </c>
      <c r="E128" s="1" t="s">
        <v>608</v>
      </c>
      <c r="F128" s="2" t="s">
        <v>697</v>
      </c>
      <c r="G128" s="48">
        <v>2.52</v>
      </c>
      <c r="H128" s="48">
        <f t="shared" si="1"/>
        <v>1386</v>
      </c>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c r="AZ128" s="50"/>
      <c r="BA128" s="50"/>
      <c r="BB128" s="50"/>
      <c r="BC128" s="50"/>
      <c r="BD128" s="50"/>
      <c r="BE128" s="50"/>
      <c r="BF128" s="50"/>
    </row>
    <row r="129" spans="1:58" s="1" customFormat="1" ht="25.5">
      <c r="A129" s="1" t="s">
        <v>98</v>
      </c>
      <c r="B129" s="1" t="s">
        <v>832</v>
      </c>
      <c r="C129" s="1" t="s">
        <v>835</v>
      </c>
      <c r="D129" s="1" t="s">
        <v>840</v>
      </c>
      <c r="E129" s="1" t="s">
        <v>608</v>
      </c>
      <c r="F129" s="2" t="s">
        <v>841</v>
      </c>
      <c r="G129" s="48">
        <v>1.05</v>
      </c>
      <c r="H129" s="48">
        <f t="shared" si="1"/>
        <v>1680</v>
      </c>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c r="AV129" s="50"/>
      <c r="AW129" s="50"/>
      <c r="AX129" s="50"/>
      <c r="AY129" s="50"/>
      <c r="AZ129" s="50"/>
      <c r="BA129" s="50"/>
      <c r="BB129" s="50"/>
      <c r="BC129" s="50"/>
      <c r="BD129" s="50"/>
      <c r="BE129" s="50"/>
      <c r="BF129" s="50"/>
    </row>
    <row r="130" spans="1:58" s="1" customFormat="1" ht="25.5">
      <c r="A130" s="1" t="s">
        <v>100</v>
      </c>
      <c r="B130" s="1" t="s">
        <v>832</v>
      </c>
      <c r="C130" s="1" t="s">
        <v>835</v>
      </c>
      <c r="D130" s="1" t="s">
        <v>842</v>
      </c>
      <c r="E130" s="1" t="s">
        <v>608</v>
      </c>
      <c r="F130" s="2" t="s">
        <v>843</v>
      </c>
      <c r="G130" s="48">
        <v>0.84</v>
      </c>
      <c r="H130" s="48">
        <f t="shared" ref="H130:H193" si="2">F130*G130</f>
        <v>840</v>
      </c>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c r="AY130" s="50"/>
      <c r="AZ130" s="50"/>
      <c r="BA130" s="50"/>
      <c r="BB130" s="50"/>
      <c r="BC130" s="50"/>
      <c r="BD130" s="50"/>
      <c r="BE130" s="50"/>
      <c r="BF130" s="50"/>
    </row>
    <row r="131" spans="1:58" s="1" customFormat="1" ht="25.5">
      <c r="A131" s="1" t="s">
        <v>102</v>
      </c>
      <c r="B131" s="1" t="s">
        <v>832</v>
      </c>
      <c r="C131" s="1" t="s">
        <v>835</v>
      </c>
      <c r="D131" s="1" t="s">
        <v>844</v>
      </c>
      <c r="E131" s="1" t="s">
        <v>608</v>
      </c>
      <c r="F131" s="2" t="s">
        <v>150</v>
      </c>
      <c r="G131" s="48">
        <v>2.1</v>
      </c>
      <c r="H131" s="48">
        <f t="shared" si="2"/>
        <v>105</v>
      </c>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c r="AZ131" s="50"/>
      <c r="BA131" s="50"/>
      <c r="BB131" s="50"/>
      <c r="BC131" s="50"/>
      <c r="BD131" s="50"/>
      <c r="BE131" s="50"/>
      <c r="BF131" s="50"/>
    </row>
    <row r="132" spans="1:58" s="1" customFormat="1" ht="76.5">
      <c r="A132" s="1" t="s">
        <v>104</v>
      </c>
      <c r="B132" s="1" t="s">
        <v>832</v>
      </c>
      <c r="C132" s="1" t="s">
        <v>845</v>
      </c>
      <c r="D132" s="1" t="s">
        <v>846</v>
      </c>
      <c r="E132" s="1" t="s">
        <v>13</v>
      </c>
      <c r="F132" s="2" t="s">
        <v>14</v>
      </c>
      <c r="G132" s="48">
        <v>0</v>
      </c>
      <c r="H132" s="48">
        <f t="shared" si="2"/>
        <v>0</v>
      </c>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c r="AY132" s="50"/>
      <c r="AZ132" s="50"/>
      <c r="BA132" s="50"/>
      <c r="BB132" s="50"/>
      <c r="BC132" s="50"/>
      <c r="BD132" s="50"/>
      <c r="BE132" s="50"/>
      <c r="BF132" s="50"/>
    </row>
    <row r="133" spans="1:58" s="1" customFormat="1" ht="25.5">
      <c r="A133" s="1" t="s">
        <v>107</v>
      </c>
      <c r="B133" s="1" t="s">
        <v>832</v>
      </c>
      <c r="C133" s="1" t="s">
        <v>845</v>
      </c>
      <c r="D133" s="1" t="s">
        <v>836</v>
      </c>
      <c r="E133" s="1" t="s">
        <v>585</v>
      </c>
      <c r="F133" s="2" t="s">
        <v>593</v>
      </c>
      <c r="G133" s="48">
        <v>0.81</v>
      </c>
      <c r="H133" s="48">
        <f t="shared" si="2"/>
        <v>567</v>
      </c>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c r="AY133" s="50"/>
      <c r="AZ133" s="50"/>
      <c r="BA133" s="50"/>
      <c r="BB133" s="50"/>
      <c r="BC133" s="50"/>
      <c r="BD133" s="50"/>
      <c r="BE133" s="50"/>
      <c r="BF133" s="50"/>
    </row>
    <row r="134" spans="1:58" s="1" customFormat="1" ht="25.5">
      <c r="A134" s="1" t="s">
        <v>110</v>
      </c>
      <c r="B134" s="1" t="s">
        <v>832</v>
      </c>
      <c r="C134" s="1" t="s">
        <v>845</v>
      </c>
      <c r="D134" s="1" t="s">
        <v>837</v>
      </c>
      <c r="E134" s="1" t="s">
        <v>585</v>
      </c>
      <c r="F134" s="2" t="s">
        <v>847</v>
      </c>
      <c r="G134" s="48">
        <v>0.94499999999999995</v>
      </c>
      <c r="H134" s="48">
        <f t="shared" si="2"/>
        <v>378</v>
      </c>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c r="BB134" s="50"/>
      <c r="BC134" s="50"/>
      <c r="BD134" s="50"/>
      <c r="BE134" s="50"/>
      <c r="BF134" s="50"/>
    </row>
    <row r="135" spans="1:58" s="1" customFormat="1" ht="25.5">
      <c r="A135" s="1" t="s">
        <v>112</v>
      </c>
      <c r="B135" s="1" t="s">
        <v>832</v>
      </c>
      <c r="C135" s="1" t="s">
        <v>845</v>
      </c>
      <c r="D135" s="1" t="s">
        <v>839</v>
      </c>
      <c r="E135" s="1" t="s">
        <v>585</v>
      </c>
      <c r="F135" s="2" t="s">
        <v>120</v>
      </c>
      <c r="G135" s="48">
        <v>2.1</v>
      </c>
      <c r="H135" s="48">
        <f t="shared" si="2"/>
        <v>84</v>
      </c>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c r="BB135" s="50"/>
      <c r="BC135" s="50"/>
      <c r="BD135" s="50"/>
      <c r="BE135" s="50"/>
      <c r="BF135" s="50"/>
    </row>
    <row r="136" spans="1:58" s="1" customFormat="1" ht="25.5">
      <c r="A136" s="1" t="s">
        <v>115</v>
      </c>
      <c r="B136" s="1" t="s">
        <v>832</v>
      </c>
      <c r="C136" s="1" t="s">
        <v>845</v>
      </c>
      <c r="D136" s="1" t="s">
        <v>848</v>
      </c>
      <c r="E136" s="1" t="s">
        <v>585</v>
      </c>
      <c r="F136" s="2" t="s">
        <v>821</v>
      </c>
      <c r="G136" s="48">
        <v>1.925</v>
      </c>
      <c r="H136" s="48">
        <f t="shared" si="2"/>
        <v>231</v>
      </c>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c r="AZ136" s="50"/>
      <c r="BA136" s="50"/>
      <c r="BB136" s="50"/>
      <c r="BC136" s="50"/>
      <c r="BD136" s="50"/>
      <c r="BE136" s="50"/>
      <c r="BF136" s="50"/>
    </row>
    <row r="137" spans="1:58" s="1" customFormat="1" ht="25.5">
      <c r="A137" s="1" t="s">
        <v>118</v>
      </c>
      <c r="B137" s="1" t="s">
        <v>832</v>
      </c>
      <c r="C137" s="1" t="s">
        <v>845</v>
      </c>
      <c r="D137" s="1" t="s">
        <v>842</v>
      </c>
      <c r="E137" s="1" t="s">
        <v>585</v>
      </c>
      <c r="F137" s="2" t="s">
        <v>120</v>
      </c>
      <c r="G137" s="48">
        <v>1.575</v>
      </c>
      <c r="H137" s="48">
        <f t="shared" si="2"/>
        <v>63</v>
      </c>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c r="BB137" s="50"/>
      <c r="BC137" s="50"/>
      <c r="BD137" s="50"/>
      <c r="BE137" s="50"/>
      <c r="BF137" s="50"/>
    </row>
    <row r="138" spans="1:58" s="1" customFormat="1" ht="25.5">
      <c r="A138" s="1" t="s">
        <v>121</v>
      </c>
      <c r="B138" s="1" t="s">
        <v>832</v>
      </c>
      <c r="C138" s="1" t="s">
        <v>845</v>
      </c>
      <c r="D138" s="1" t="s">
        <v>844</v>
      </c>
      <c r="E138" s="1" t="s">
        <v>585</v>
      </c>
      <c r="F138" s="2" t="s">
        <v>67</v>
      </c>
      <c r="G138" s="48">
        <v>5.25</v>
      </c>
      <c r="H138" s="48">
        <f t="shared" si="2"/>
        <v>105</v>
      </c>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c r="AY138" s="50"/>
      <c r="AZ138" s="50"/>
      <c r="BA138" s="50"/>
      <c r="BB138" s="50"/>
      <c r="BC138" s="50"/>
      <c r="BD138" s="50"/>
      <c r="BE138" s="50"/>
      <c r="BF138" s="50"/>
    </row>
    <row r="139" spans="1:58" s="1" customFormat="1" ht="25.5">
      <c r="A139" s="1" t="s">
        <v>123</v>
      </c>
      <c r="B139" s="1" t="s">
        <v>832</v>
      </c>
      <c r="C139" s="1" t="s">
        <v>849</v>
      </c>
      <c r="D139" s="1" t="s">
        <v>850</v>
      </c>
      <c r="E139" s="1" t="s">
        <v>13</v>
      </c>
      <c r="F139" s="2" t="s">
        <v>14</v>
      </c>
      <c r="G139" s="48">
        <v>0</v>
      </c>
      <c r="H139" s="48">
        <f t="shared" si="2"/>
        <v>0</v>
      </c>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c r="AZ139" s="50"/>
      <c r="BA139" s="50"/>
      <c r="BB139" s="50"/>
      <c r="BC139" s="50"/>
      <c r="BD139" s="50"/>
      <c r="BE139" s="50"/>
      <c r="BF139" s="50"/>
    </row>
    <row r="140" spans="1:58" s="1" customFormat="1" ht="38.25">
      <c r="A140" s="1" t="s">
        <v>125</v>
      </c>
      <c r="B140" s="1" t="s">
        <v>832</v>
      </c>
      <c r="C140" s="1" t="s">
        <v>851</v>
      </c>
      <c r="D140" s="1" t="s">
        <v>852</v>
      </c>
      <c r="E140" s="1" t="s">
        <v>585</v>
      </c>
      <c r="F140" s="2" t="s">
        <v>67</v>
      </c>
      <c r="G140" s="48">
        <v>21</v>
      </c>
      <c r="H140" s="48">
        <f t="shared" si="2"/>
        <v>420</v>
      </c>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c r="AZ140" s="50"/>
      <c r="BA140" s="50"/>
      <c r="BB140" s="50"/>
      <c r="BC140" s="50"/>
      <c r="BD140" s="50"/>
      <c r="BE140" s="50"/>
      <c r="BF140" s="50"/>
    </row>
    <row r="141" spans="1:58" s="1" customFormat="1" ht="38.25">
      <c r="A141" s="1" t="s">
        <v>128</v>
      </c>
      <c r="B141" s="1" t="s">
        <v>832</v>
      </c>
      <c r="C141" s="1" t="s">
        <v>853</v>
      </c>
      <c r="D141" s="1" t="s">
        <v>854</v>
      </c>
      <c r="E141" s="1" t="s">
        <v>585</v>
      </c>
      <c r="F141" s="2" t="s">
        <v>821</v>
      </c>
      <c r="G141" s="48">
        <v>68.25</v>
      </c>
      <c r="H141" s="48">
        <f t="shared" si="2"/>
        <v>8190</v>
      </c>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50"/>
      <c r="AX141" s="50"/>
      <c r="AY141" s="50"/>
      <c r="AZ141" s="50"/>
      <c r="BA141" s="50"/>
      <c r="BB141" s="50"/>
      <c r="BC141" s="50"/>
      <c r="BD141" s="50"/>
      <c r="BE141" s="50"/>
      <c r="BF141" s="50"/>
    </row>
    <row r="142" spans="1:58" s="1" customFormat="1" ht="114.75">
      <c r="A142" s="1" t="s">
        <v>131</v>
      </c>
      <c r="B142" s="1" t="s">
        <v>832</v>
      </c>
      <c r="C142" s="1" t="s">
        <v>855</v>
      </c>
      <c r="D142" s="1" t="s">
        <v>856</v>
      </c>
      <c r="E142" s="1" t="s">
        <v>585</v>
      </c>
      <c r="F142" s="2" t="s">
        <v>67</v>
      </c>
      <c r="G142" s="48">
        <v>99.75</v>
      </c>
      <c r="H142" s="48">
        <f t="shared" si="2"/>
        <v>1995</v>
      </c>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c r="AV142" s="50"/>
      <c r="AW142" s="50"/>
      <c r="AX142" s="50"/>
      <c r="AY142" s="50"/>
      <c r="AZ142" s="50"/>
      <c r="BA142" s="50"/>
      <c r="BB142" s="50"/>
      <c r="BC142" s="50"/>
      <c r="BD142" s="50"/>
      <c r="BE142" s="50"/>
      <c r="BF142" s="50"/>
    </row>
    <row r="143" spans="1:58" s="1" customFormat="1" ht="51">
      <c r="A143" s="1" t="s">
        <v>135</v>
      </c>
      <c r="B143" s="1" t="s">
        <v>857</v>
      </c>
      <c r="C143" s="1" t="s">
        <v>858</v>
      </c>
      <c r="D143" s="1" t="s">
        <v>859</v>
      </c>
      <c r="E143" s="1" t="s">
        <v>13</v>
      </c>
      <c r="F143" s="2" t="s">
        <v>14</v>
      </c>
      <c r="G143" s="48">
        <v>0</v>
      </c>
      <c r="H143" s="48">
        <f t="shared" si="2"/>
        <v>0</v>
      </c>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0"/>
      <c r="AU143" s="50"/>
      <c r="AV143" s="50"/>
      <c r="AW143" s="50"/>
      <c r="AX143" s="50"/>
      <c r="AY143" s="50"/>
      <c r="AZ143" s="50"/>
      <c r="BA143" s="50"/>
      <c r="BB143" s="50"/>
      <c r="BC143" s="50"/>
      <c r="BD143" s="50"/>
      <c r="BE143" s="50"/>
      <c r="BF143" s="50"/>
    </row>
    <row r="144" spans="1:58" s="1" customFormat="1" ht="51">
      <c r="A144" s="1" t="s">
        <v>138</v>
      </c>
      <c r="B144" s="1" t="s">
        <v>857</v>
      </c>
      <c r="C144" s="1" t="s">
        <v>858</v>
      </c>
      <c r="D144" s="1" t="s">
        <v>779</v>
      </c>
      <c r="E144" s="1" t="s">
        <v>860</v>
      </c>
      <c r="F144" s="2" t="s">
        <v>593</v>
      </c>
      <c r="G144" s="48">
        <v>1.8</v>
      </c>
      <c r="H144" s="48">
        <f t="shared" si="2"/>
        <v>1260</v>
      </c>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0"/>
      <c r="AU144" s="50"/>
      <c r="AV144" s="50"/>
      <c r="AW144" s="50"/>
      <c r="AX144" s="50"/>
      <c r="AY144" s="50"/>
      <c r="AZ144" s="50"/>
      <c r="BA144" s="50"/>
      <c r="BB144" s="50"/>
      <c r="BC144" s="50"/>
      <c r="BD144" s="50"/>
      <c r="BE144" s="50"/>
      <c r="BF144" s="50"/>
    </row>
    <row r="145" spans="1:58" s="1" customFormat="1" ht="51">
      <c r="A145" s="1" t="s">
        <v>141</v>
      </c>
      <c r="B145" s="1" t="s">
        <v>857</v>
      </c>
      <c r="C145" s="1" t="s">
        <v>861</v>
      </c>
      <c r="D145" s="1" t="s">
        <v>862</v>
      </c>
      <c r="E145" s="1" t="s">
        <v>585</v>
      </c>
      <c r="F145" s="2" t="s">
        <v>238</v>
      </c>
      <c r="G145" s="48">
        <v>3.6749999999999998</v>
      </c>
      <c r="H145" s="48">
        <f t="shared" si="2"/>
        <v>294</v>
      </c>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c r="AY145" s="50"/>
      <c r="AZ145" s="50"/>
      <c r="BA145" s="50"/>
      <c r="BB145" s="50"/>
      <c r="BC145" s="50"/>
      <c r="BD145" s="50"/>
      <c r="BE145" s="50"/>
      <c r="BF145" s="50"/>
    </row>
    <row r="146" spans="1:58" s="1" customFormat="1" ht="38.25">
      <c r="A146" s="1" t="s">
        <v>144</v>
      </c>
      <c r="B146" s="1" t="s">
        <v>863</v>
      </c>
      <c r="C146" s="1" t="s">
        <v>577</v>
      </c>
      <c r="D146" s="1" t="s">
        <v>864</v>
      </c>
      <c r="E146" s="1" t="s">
        <v>13</v>
      </c>
      <c r="F146" s="2" t="s">
        <v>8</v>
      </c>
      <c r="G146" s="48">
        <v>0</v>
      </c>
      <c r="H146" s="48">
        <f t="shared" si="2"/>
        <v>0</v>
      </c>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c r="AZ146" s="50"/>
      <c r="BA146" s="50"/>
      <c r="BB146" s="50"/>
      <c r="BC146" s="50"/>
      <c r="BD146" s="50"/>
      <c r="BE146" s="50"/>
      <c r="BF146" s="50"/>
    </row>
    <row r="147" spans="1:58" s="1" customFormat="1" ht="63.75">
      <c r="A147" s="1" t="s">
        <v>147</v>
      </c>
      <c r="B147" s="1" t="s">
        <v>863</v>
      </c>
      <c r="C147" s="1" t="s">
        <v>577</v>
      </c>
      <c r="D147" s="1" t="s">
        <v>865</v>
      </c>
      <c r="E147" s="1" t="s">
        <v>13</v>
      </c>
      <c r="F147" s="2" t="s">
        <v>8</v>
      </c>
      <c r="G147" s="48">
        <v>10.5</v>
      </c>
      <c r="H147" s="48">
        <f t="shared" si="2"/>
        <v>10.5</v>
      </c>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c r="AV147" s="50"/>
      <c r="AW147" s="50"/>
      <c r="AX147" s="50"/>
      <c r="AY147" s="50"/>
      <c r="AZ147" s="50"/>
      <c r="BA147" s="50"/>
      <c r="BB147" s="50"/>
      <c r="BC147" s="50"/>
      <c r="BD147" s="50"/>
      <c r="BE147" s="50"/>
      <c r="BF147" s="50"/>
    </row>
    <row r="148" spans="1:58" s="1" customFormat="1" ht="38.25">
      <c r="A148" s="1" t="s">
        <v>151</v>
      </c>
      <c r="B148" s="1" t="s">
        <v>863</v>
      </c>
      <c r="C148" s="1" t="s">
        <v>577</v>
      </c>
      <c r="D148" s="1" t="s">
        <v>866</v>
      </c>
      <c r="E148" s="1" t="s">
        <v>13</v>
      </c>
      <c r="F148" s="2" t="s">
        <v>8</v>
      </c>
      <c r="G148" s="48">
        <v>315</v>
      </c>
      <c r="H148" s="48">
        <f t="shared" si="2"/>
        <v>315</v>
      </c>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c r="AV148" s="50"/>
      <c r="AW148" s="50"/>
      <c r="AX148" s="50"/>
      <c r="AY148" s="50"/>
      <c r="AZ148" s="50"/>
      <c r="BA148" s="50"/>
      <c r="BB148" s="50"/>
      <c r="BC148" s="50"/>
      <c r="BD148" s="50"/>
      <c r="BE148" s="50"/>
      <c r="BF148" s="50"/>
    </row>
    <row r="149" spans="1:58" s="1" customFormat="1" ht="38.25">
      <c r="A149" s="1" t="s">
        <v>155</v>
      </c>
      <c r="B149" s="1" t="s">
        <v>863</v>
      </c>
      <c r="C149" s="1" t="s">
        <v>577</v>
      </c>
      <c r="D149" s="1" t="s">
        <v>867</v>
      </c>
      <c r="E149" s="1" t="s">
        <v>13</v>
      </c>
      <c r="F149" s="2" t="s">
        <v>8</v>
      </c>
      <c r="G149" s="48">
        <v>315</v>
      </c>
      <c r="H149" s="48">
        <f t="shared" si="2"/>
        <v>315</v>
      </c>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c r="AY149" s="50"/>
      <c r="AZ149" s="50"/>
      <c r="BA149" s="50"/>
      <c r="BB149" s="50"/>
      <c r="BC149" s="50"/>
      <c r="BD149" s="50"/>
      <c r="BE149" s="50"/>
      <c r="BF149" s="50"/>
    </row>
    <row r="150" spans="1:58" s="1" customFormat="1" ht="38.25">
      <c r="A150" s="1" t="s">
        <v>157</v>
      </c>
      <c r="B150" s="1" t="s">
        <v>863</v>
      </c>
      <c r="C150" s="1" t="s">
        <v>577</v>
      </c>
      <c r="D150" s="1" t="s">
        <v>868</v>
      </c>
      <c r="E150" s="1" t="s">
        <v>13</v>
      </c>
      <c r="F150" s="2" t="s">
        <v>8</v>
      </c>
      <c r="G150" s="48">
        <v>840</v>
      </c>
      <c r="H150" s="48">
        <f t="shared" si="2"/>
        <v>840</v>
      </c>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c r="AV150" s="50"/>
      <c r="AW150" s="50"/>
      <c r="AX150" s="50"/>
      <c r="AY150" s="50"/>
      <c r="AZ150" s="50"/>
      <c r="BA150" s="50"/>
      <c r="BB150" s="50"/>
      <c r="BC150" s="50"/>
      <c r="BD150" s="50"/>
      <c r="BE150" s="50"/>
      <c r="BF150" s="50"/>
    </row>
    <row r="151" spans="1:58" s="1" customFormat="1" ht="38.25">
      <c r="A151" s="1" t="s">
        <v>159</v>
      </c>
      <c r="B151" s="1" t="s">
        <v>863</v>
      </c>
      <c r="C151" s="1" t="s">
        <v>577</v>
      </c>
      <c r="D151" s="1" t="s">
        <v>869</v>
      </c>
      <c r="E151" s="1" t="s">
        <v>13</v>
      </c>
      <c r="F151" s="2" t="s">
        <v>8</v>
      </c>
      <c r="G151" s="48">
        <v>945</v>
      </c>
      <c r="H151" s="48">
        <f t="shared" si="2"/>
        <v>945</v>
      </c>
      <c r="I151" s="53"/>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c r="AV151" s="50"/>
      <c r="AW151" s="50"/>
      <c r="AX151" s="50"/>
      <c r="AY151" s="50"/>
      <c r="AZ151" s="50"/>
      <c r="BA151" s="50"/>
      <c r="BB151" s="50"/>
      <c r="BC151" s="50"/>
      <c r="BD151" s="50"/>
      <c r="BE151" s="50"/>
      <c r="BF151" s="50"/>
    </row>
    <row r="152" spans="1:58" s="1" customFormat="1" ht="38.25">
      <c r="A152" s="1" t="s">
        <v>161</v>
      </c>
      <c r="B152" s="1" t="s">
        <v>863</v>
      </c>
      <c r="C152" s="1" t="s">
        <v>577</v>
      </c>
      <c r="D152" s="1" t="s">
        <v>870</v>
      </c>
      <c r="E152" s="1" t="s">
        <v>13</v>
      </c>
      <c r="F152" s="2" t="s">
        <v>8</v>
      </c>
      <c r="G152" s="48">
        <v>945</v>
      </c>
      <c r="H152" s="48">
        <f t="shared" si="2"/>
        <v>945</v>
      </c>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c r="AY152" s="50"/>
      <c r="AZ152" s="50"/>
      <c r="BA152" s="50"/>
      <c r="BB152" s="50"/>
      <c r="BC152" s="50"/>
      <c r="BD152" s="50"/>
      <c r="BE152" s="50"/>
      <c r="BF152" s="50"/>
    </row>
    <row r="153" spans="1:58" s="1" customFormat="1" ht="38.25">
      <c r="A153" s="1" t="s">
        <v>164</v>
      </c>
      <c r="B153" s="1" t="s">
        <v>863</v>
      </c>
      <c r="C153" s="1" t="s">
        <v>577</v>
      </c>
      <c r="D153" s="1" t="s">
        <v>871</v>
      </c>
      <c r="E153" s="1" t="s">
        <v>13</v>
      </c>
      <c r="F153" s="2" t="s">
        <v>8</v>
      </c>
      <c r="G153" s="48">
        <v>945</v>
      </c>
      <c r="H153" s="48">
        <f t="shared" si="2"/>
        <v>945</v>
      </c>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c r="AV153" s="50"/>
      <c r="AW153" s="50"/>
      <c r="AX153" s="50"/>
      <c r="AY153" s="50"/>
      <c r="AZ153" s="50"/>
      <c r="BA153" s="50"/>
      <c r="BB153" s="50"/>
      <c r="BC153" s="50"/>
      <c r="BD153" s="50"/>
      <c r="BE153" s="50"/>
      <c r="BF153" s="50"/>
    </row>
    <row r="154" spans="1:58" s="1" customFormat="1" ht="38.25">
      <c r="A154" s="1" t="s">
        <v>167</v>
      </c>
      <c r="B154" s="1" t="s">
        <v>863</v>
      </c>
      <c r="C154" s="1" t="s">
        <v>577</v>
      </c>
      <c r="D154" s="1" t="s">
        <v>872</v>
      </c>
      <c r="E154" s="1" t="s">
        <v>13</v>
      </c>
      <c r="F154" s="2" t="s">
        <v>8</v>
      </c>
      <c r="G154" s="48">
        <v>1785</v>
      </c>
      <c r="H154" s="48">
        <f t="shared" si="2"/>
        <v>1785</v>
      </c>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c r="AV154" s="50"/>
      <c r="AW154" s="50"/>
      <c r="AX154" s="50"/>
      <c r="AY154" s="50"/>
      <c r="AZ154" s="50"/>
      <c r="BA154" s="50"/>
      <c r="BB154" s="50"/>
      <c r="BC154" s="50"/>
      <c r="BD154" s="50"/>
      <c r="BE154" s="50"/>
      <c r="BF154" s="50"/>
    </row>
    <row r="155" spans="1:58" s="1" customFormat="1" ht="38.25">
      <c r="A155" s="1" t="s">
        <v>170</v>
      </c>
      <c r="B155" s="1" t="s">
        <v>863</v>
      </c>
      <c r="C155" s="1" t="s">
        <v>577</v>
      </c>
      <c r="D155" s="1" t="s">
        <v>873</v>
      </c>
      <c r="E155" s="1" t="s">
        <v>13</v>
      </c>
      <c r="F155" s="2" t="s">
        <v>8</v>
      </c>
      <c r="G155" s="48">
        <v>1680</v>
      </c>
      <c r="H155" s="48">
        <f t="shared" si="2"/>
        <v>1680</v>
      </c>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c r="AZ155" s="50"/>
      <c r="BA155" s="50"/>
      <c r="BB155" s="50"/>
      <c r="BC155" s="50"/>
      <c r="BD155" s="50"/>
      <c r="BE155" s="50"/>
      <c r="BF155" s="50"/>
    </row>
    <row r="156" spans="1:58" s="1" customFormat="1" ht="38.25">
      <c r="A156" s="1" t="s">
        <v>173</v>
      </c>
      <c r="B156" s="1" t="s">
        <v>863</v>
      </c>
      <c r="C156" s="1" t="s">
        <v>577</v>
      </c>
      <c r="D156" s="1" t="s">
        <v>874</v>
      </c>
      <c r="E156" s="1" t="s">
        <v>13</v>
      </c>
      <c r="F156" s="2" t="s">
        <v>8</v>
      </c>
      <c r="G156" s="48">
        <v>63</v>
      </c>
      <c r="H156" s="48">
        <f t="shared" si="2"/>
        <v>63</v>
      </c>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c r="AY156" s="50"/>
      <c r="AZ156" s="50"/>
      <c r="BA156" s="50"/>
      <c r="BB156" s="50"/>
      <c r="BC156" s="50"/>
      <c r="BD156" s="50"/>
      <c r="BE156" s="50"/>
      <c r="BF156" s="50"/>
    </row>
    <row r="157" spans="1:58" s="1" customFormat="1" ht="76.5">
      <c r="A157" s="1" t="s">
        <v>875</v>
      </c>
      <c r="B157" s="1" t="s">
        <v>876</v>
      </c>
      <c r="C157" s="1" t="s">
        <v>876</v>
      </c>
      <c r="D157" s="1" t="s">
        <v>877</v>
      </c>
      <c r="E157" s="1" t="s">
        <v>13</v>
      </c>
      <c r="F157" s="2" t="s">
        <v>8</v>
      </c>
      <c r="G157" s="48">
        <v>0</v>
      </c>
      <c r="H157" s="48">
        <f t="shared" si="2"/>
        <v>0</v>
      </c>
      <c r="I157" s="49">
        <f>SUM(H157:H164)</f>
        <v>3223</v>
      </c>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c r="AV157" s="50"/>
      <c r="AW157" s="50"/>
      <c r="AX157" s="50"/>
      <c r="AY157" s="50"/>
      <c r="AZ157" s="50"/>
      <c r="BA157" s="50"/>
      <c r="BB157" s="50"/>
      <c r="BC157" s="50"/>
      <c r="BD157" s="50"/>
      <c r="BE157" s="50"/>
      <c r="BF157" s="50"/>
    </row>
    <row r="158" spans="1:58" s="1" customFormat="1" ht="89.25">
      <c r="A158" s="1" t="s">
        <v>878</v>
      </c>
      <c r="B158" s="1" t="s">
        <v>876</v>
      </c>
      <c r="C158" s="1" t="s">
        <v>879</v>
      </c>
      <c r="D158" s="1" t="s">
        <v>880</v>
      </c>
      <c r="E158" s="1" t="s">
        <v>585</v>
      </c>
      <c r="F158" s="2" t="s">
        <v>18</v>
      </c>
      <c r="G158" s="48">
        <v>0</v>
      </c>
      <c r="H158" s="48">
        <f t="shared" si="2"/>
        <v>0</v>
      </c>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c r="AY158" s="50"/>
      <c r="AZ158" s="50"/>
      <c r="BA158" s="50"/>
      <c r="BB158" s="50"/>
      <c r="BC158" s="50"/>
      <c r="BD158" s="50"/>
      <c r="BE158" s="50"/>
      <c r="BF158" s="50"/>
    </row>
    <row r="159" spans="1:58" s="1" customFormat="1" ht="25.5">
      <c r="A159" s="1" t="s">
        <v>881</v>
      </c>
      <c r="B159" s="1" t="s">
        <v>876</v>
      </c>
      <c r="C159" s="1" t="s">
        <v>882</v>
      </c>
      <c r="D159" s="1" t="s">
        <v>883</v>
      </c>
      <c r="E159" s="1" t="s">
        <v>491</v>
      </c>
      <c r="F159" s="2" t="s">
        <v>18</v>
      </c>
      <c r="G159" s="48">
        <v>80</v>
      </c>
      <c r="H159" s="48">
        <f t="shared" si="2"/>
        <v>240</v>
      </c>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c r="AZ159" s="50"/>
      <c r="BA159" s="50"/>
      <c r="BB159" s="50"/>
      <c r="BC159" s="50"/>
      <c r="BD159" s="50"/>
      <c r="BE159" s="50"/>
      <c r="BF159" s="50"/>
    </row>
    <row r="160" spans="1:58" s="1" customFormat="1" ht="25.5">
      <c r="A160" s="1" t="s">
        <v>884</v>
      </c>
      <c r="B160" s="1" t="s">
        <v>876</v>
      </c>
      <c r="C160" s="1" t="s">
        <v>885</v>
      </c>
      <c r="D160" s="1" t="s">
        <v>886</v>
      </c>
      <c r="E160" s="1" t="s">
        <v>491</v>
      </c>
      <c r="F160" s="2" t="s">
        <v>8</v>
      </c>
      <c r="G160" s="48">
        <v>120</v>
      </c>
      <c r="H160" s="48">
        <f t="shared" si="2"/>
        <v>120</v>
      </c>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c r="AZ160" s="50"/>
      <c r="BA160" s="50"/>
      <c r="BB160" s="50"/>
      <c r="BC160" s="50"/>
      <c r="BD160" s="50"/>
      <c r="BE160" s="50"/>
      <c r="BF160" s="50"/>
    </row>
    <row r="161" spans="1:58" s="1" customFormat="1" ht="25.5">
      <c r="A161" s="1" t="s">
        <v>887</v>
      </c>
      <c r="B161" s="1" t="s">
        <v>876</v>
      </c>
      <c r="C161" s="1" t="s">
        <v>888</v>
      </c>
      <c r="D161" s="1" t="s">
        <v>889</v>
      </c>
      <c r="E161" s="1" t="s">
        <v>491</v>
      </c>
      <c r="F161" s="2" t="s">
        <v>8</v>
      </c>
      <c r="G161" s="48">
        <v>200</v>
      </c>
      <c r="H161" s="48">
        <f t="shared" si="2"/>
        <v>200</v>
      </c>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c r="AZ161" s="50"/>
      <c r="BA161" s="50"/>
      <c r="BB161" s="50"/>
      <c r="BC161" s="50"/>
      <c r="BD161" s="50"/>
      <c r="BE161" s="50"/>
      <c r="BF161" s="50"/>
    </row>
    <row r="162" spans="1:58" s="1" customFormat="1" ht="25.5">
      <c r="A162" s="1" t="s">
        <v>890</v>
      </c>
      <c r="B162" s="1" t="s">
        <v>876</v>
      </c>
      <c r="C162" s="1" t="s">
        <v>891</v>
      </c>
      <c r="D162" s="1" t="s">
        <v>892</v>
      </c>
      <c r="E162" s="1" t="s">
        <v>585</v>
      </c>
      <c r="F162" s="2" t="s">
        <v>67</v>
      </c>
      <c r="G162" s="48">
        <v>2.1</v>
      </c>
      <c r="H162" s="48">
        <f t="shared" si="2"/>
        <v>42</v>
      </c>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c r="AY162" s="50"/>
      <c r="AZ162" s="50"/>
      <c r="BA162" s="50"/>
      <c r="BB162" s="50"/>
      <c r="BC162" s="50"/>
      <c r="BD162" s="50"/>
      <c r="BE162" s="50"/>
      <c r="BF162" s="50"/>
    </row>
    <row r="163" spans="1:58" s="1" customFormat="1" ht="25.5">
      <c r="A163" s="1" t="s">
        <v>893</v>
      </c>
      <c r="B163" s="1" t="s">
        <v>876</v>
      </c>
      <c r="C163" s="1" t="s">
        <v>891</v>
      </c>
      <c r="D163" s="1" t="s">
        <v>894</v>
      </c>
      <c r="E163" s="1" t="s">
        <v>585</v>
      </c>
      <c r="F163" s="2" t="s">
        <v>67</v>
      </c>
      <c r="G163" s="48">
        <v>1.05</v>
      </c>
      <c r="H163" s="48">
        <f t="shared" si="2"/>
        <v>21</v>
      </c>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c r="AY163" s="50"/>
      <c r="AZ163" s="50"/>
      <c r="BA163" s="50"/>
      <c r="BB163" s="50"/>
      <c r="BC163" s="50"/>
      <c r="BD163" s="50"/>
      <c r="BE163" s="50"/>
      <c r="BF163" s="50"/>
    </row>
    <row r="164" spans="1:58" s="1" customFormat="1" ht="25.5">
      <c r="A164" s="1" t="s">
        <v>895</v>
      </c>
      <c r="B164" s="1" t="s">
        <v>876</v>
      </c>
      <c r="C164" s="1" t="s">
        <v>896</v>
      </c>
      <c r="D164" s="1" t="s">
        <v>897</v>
      </c>
      <c r="E164" s="1" t="s">
        <v>585</v>
      </c>
      <c r="F164" s="2" t="s">
        <v>67</v>
      </c>
      <c r="G164" s="48">
        <v>130</v>
      </c>
      <c r="H164" s="48">
        <f t="shared" si="2"/>
        <v>2600</v>
      </c>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AY164" s="50"/>
      <c r="AZ164" s="50"/>
      <c r="BA164" s="50"/>
      <c r="BB164" s="50"/>
      <c r="BC164" s="50"/>
      <c r="BD164" s="50"/>
      <c r="BE164" s="50"/>
      <c r="BF164" s="50"/>
    </row>
    <row r="165" spans="1:58" s="1" customFormat="1" ht="38.25">
      <c r="A165" s="1" t="s">
        <v>898</v>
      </c>
      <c r="B165" s="1" t="s">
        <v>899</v>
      </c>
      <c r="C165" s="1" t="s">
        <v>900</v>
      </c>
      <c r="D165" s="1" t="s">
        <v>901</v>
      </c>
      <c r="E165" s="1" t="s">
        <v>608</v>
      </c>
      <c r="F165" s="2" t="s">
        <v>297</v>
      </c>
      <c r="G165" s="48">
        <v>10.5</v>
      </c>
      <c r="H165" s="48">
        <f t="shared" si="2"/>
        <v>1050</v>
      </c>
      <c r="I165" s="49">
        <f>SUM(H166:H175)</f>
        <v>43600</v>
      </c>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c r="AX165" s="50"/>
      <c r="AY165" s="50"/>
      <c r="AZ165" s="50"/>
      <c r="BA165" s="50"/>
      <c r="BB165" s="50"/>
      <c r="BC165" s="50"/>
      <c r="BD165" s="50"/>
      <c r="BE165" s="50"/>
      <c r="BF165" s="50"/>
    </row>
    <row r="166" spans="1:58" s="1" customFormat="1" ht="51">
      <c r="A166" s="1" t="s">
        <v>902</v>
      </c>
      <c r="B166" s="1" t="s">
        <v>903</v>
      </c>
      <c r="C166" s="1" t="s">
        <v>904</v>
      </c>
      <c r="D166" s="1" t="s">
        <v>905</v>
      </c>
      <c r="E166" s="1" t="s">
        <v>585</v>
      </c>
      <c r="F166" s="2" t="s">
        <v>821</v>
      </c>
      <c r="G166" s="48">
        <v>240</v>
      </c>
      <c r="H166" s="48">
        <f t="shared" si="2"/>
        <v>28800</v>
      </c>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c r="AV166" s="50"/>
      <c r="AW166" s="50"/>
      <c r="AX166" s="50"/>
      <c r="AY166" s="50"/>
      <c r="AZ166" s="50"/>
      <c r="BA166" s="50"/>
      <c r="BB166" s="50"/>
      <c r="BC166" s="50"/>
      <c r="BD166" s="50"/>
      <c r="BE166" s="50"/>
      <c r="BF166" s="50"/>
    </row>
    <row r="167" spans="1:58" s="1" customFormat="1" ht="51">
      <c r="A167" s="1" t="s">
        <v>516</v>
      </c>
      <c r="B167" s="1" t="s">
        <v>903</v>
      </c>
      <c r="C167" s="1" t="s">
        <v>904</v>
      </c>
      <c r="D167" s="1" t="s">
        <v>906</v>
      </c>
      <c r="E167" s="1" t="s">
        <v>585</v>
      </c>
      <c r="F167" s="2" t="s">
        <v>67</v>
      </c>
      <c r="G167" s="48">
        <v>320</v>
      </c>
      <c r="H167" s="48">
        <f t="shared" si="2"/>
        <v>6400</v>
      </c>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c r="AV167" s="50"/>
      <c r="AW167" s="50"/>
      <c r="AX167" s="50"/>
      <c r="AY167" s="50"/>
      <c r="AZ167" s="50"/>
      <c r="BA167" s="50"/>
      <c r="BB167" s="50"/>
      <c r="BC167" s="50"/>
      <c r="BD167" s="50"/>
      <c r="BE167" s="50"/>
      <c r="BF167" s="50"/>
    </row>
    <row r="168" spans="1:58" s="1" customFormat="1" ht="51">
      <c r="A168" s="1" t="s">
        <v>499</v>
      </c>
      <c r="B168" s="1" t="s">
        <v>903</v>
      </c>
      <c r="C168" s="1" t="s">
        <v>904</v>
      </c>
      <c r="D168" s="1" t="s">
        <v>907</v>
      </c>
      <c r="E168" s="1" t="s">
        <v>585</v>
      </c>
      <c r="F168" s="2" t="s">
        <v>67</v>
      </c>
      <c r="G168" s="48">
        <v>420</v>
      </c>
      <c r="H168" s="48">
        <f t="shared" si="2"/>
        <v>8400</v>
      </c>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c r="AS168" s="50"/>
      <c r="AT168" s="50"/>
      <c r="AU168" s="50"/>
      <c r="AV168" s="50"/>
      <c r="AW168" s="50"/>
      <c r="AX168" s="50"/>
      <c r="AY168" s="50"/>
      <c r="AZ168" s="50"/>
      <c r="BA168" s="50"/>
      <c r="BB168" s="50"/>
      <c r="BC168" s="50"/>
      <c r="BD168" s="50"/>
      <c r="BE168" s="50"/>
      <c r="BF168" s="50"/>
    </row>
    <row r="169" spans="1:58" s="1" customFormat="1" ht="76.5">
      <c r="A169" s="1" t="s">
        <v>908</v>
      </c>
      <c r="B169" s="1" t="s">
        <v>909</v>
      </c>
      <c r="C169" s="1" t="s">
        <v>577</v>
      </c>
      <c r="D169" s="1" t="s">
        <v>910</v>
      </c>
      <c r="E169" s="1" t="s">
        <v>13</v>
      </c>
      <c r="F169" s="2" t="s">
        <v>8</v>
      </c>
      <c r="G169" s="48">
        <v>0</v>
      </c>
      <c r="H169" s="48">
        <f t="shared" si="2"/>
        <v>0</v>
      </c>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c r="AS169" s="50"/>
      <c r="AT169" s="50"/>
      <c r="AU169" s="50"/>
      <c r="AV169" s="50"/>
      <c r="AW169" s="50"/>
      <c r="AX169" s="50"/>
      <c r="AY169" s="50"/>
      <c r="AZ169" s="50"/>
      <c r="BA169" s="50"/>
      <c r="BB169" s="50"/>
      <c r="BC169" s="50"/>
      <c r="BD169" s="50"/>
      <c r="BE169" s="50"/>
      <c r="BF169" s="50"/>
    </row>
    <row r="170" spans="1:58" s="1" customFormat="1" ht="25.5">
      <c r="A170" s="1" t="s">
        <v>911</v>
      </c>
      <c r="B170" s="1" t="s">
        <v>909</v>
      </c>
      <c r="C170" s="1" t="s">
        <v>577</v>
      </c>
      <c r="D170" s="1" t="s">
        <v>912</v>
      </c>
      <c r="E170" s="1" t="s">
        <v>13</v>
      </c>
      <c r="F170" s="2" t="s">
        <v>8</v>
      </c>
      <c r="G170" s="48">
        <v>0</v>
      </c>
      <c r="H170" s="48">
        <f t="shared" si="2"/>
        <v>0</v>
      </c>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c r="AV170" s="50"/>
      <c r="AW170" s="50"/>
      <c r="AX170" s="50"/>
      <c r="AY170" s="50"/>
      <c r="AZ170" s="50"/>
      <c r="BA170" s="50"/>
      <c r="BB170" s="50"/>
      <c r="BC170" s="50"/>
      <c r="BD170" s="50"/>
      <c r="BE170" s="50"/>
      <c r="BF170" s="50"/>
    </row>
    <row r="171" spans="1:58" s="1" customFormat="1" ht="38.25">
      <c r="A171" s="1" t="s">
        <v>913</v>
      </c>
      <c r="B171" s="1" t="s">
        <v>909</v>
      </c>
      <c r="C171" s="1" t="s">
        <v>577</v>
      </c>
      <c r="D171" s="1" t="s">
        <v>914</v>
      </c>
      <c r="E171" s="1" t="s">
        <v>13</v>
      </c>
      <c r="F171" s="2" t="s">
        <v>8</v>
      </c>
      <c r="G171" s="48">
        <v>0</v>
      </c>
      <c r="H171" s="48">
        <f t="shared" si="2"/>
        <v>0</v>
      </c>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c r="AS171" s="50"/>
      <c r="AT171" s="50"/>
      <c r="AU171" s="50"/>
      <c r="AV171" s="50"/>
      <c r="AW171" s="50"/>
      <c r="AX171" s="50"/>
      <c r="AY171" s="50"/>
      <c r="AZ171" s="50"/>
      <c r="BA171" s="50"/>
      <c r="BB171" s="50"/>
      <c r="BC171" s="50"/>
      <c r="BD171" s="50"/>
      <c r="BE171" s="50"/>
      <c r="BF171" s="50"/>
    </row>
    <row r="172" spans="1:58" s="1" customFormat="1" ht="25.5">
      <c r="A172" s="1" t="s">
        <v>915</v>
      </c>
      <c r="B172" s="1" t="s">
        <v>909</v>
      </c>
      <c r="C172" s="1" t="s">
        <v>577</v>
      </c>
      <c r="D172" s="1" t="s">
        <v>916</v>
      </c>
      <c r="E172" s="1" t="s">
        <v>13</v>
      </c>
      <c r="F172" s="2" t="s">
        <v>8</v>
      </c>
      <c r="G172" s="48">
        <v>0</v>
      </c>
      <c r="H172" s="48">
        <f t="shared" si="2"/>
        <v>0</v>
      </c>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c r="AP172" s="50"/>
      <c r="AQ172" s="50"/>
      <c r="AR172" s="50"/>
      <c r="AS172" s="50"/>
      <c r="AT172" s="50"/>
      <c r="AU172" s="50"/>
      <c r="AV172" s="50"/>
      <c r="AW172" s="50"/>
      <c r="AX172" s="50"/>
      <c r="AY172" s="50"/>
      <c r="AZ172" s="50"/>
      <c r="BA172" s="50"/>
      <c r="BB172" s="50"/>
      <c r="BC172" s="50"/>
      <c r="BD172" s="50"/>
      <c r="BE172" s="50"/>
      <c r="BF172" s="50"/>
    </row>
    <row r="173" spans="1:58" s="1" customFormat="1" ht="25.5">
      <c r="A173" s="1" t="s">
        <v>917</v>
      </c>
      <c r="B173" s="1" t="s">
        <v>909</v>
      </c>
      <c r="C173" s="1" t="s">
        <v>577</v>
      </c>
      <c r="D173" s="1" t="s">
        <v>918</v>
      </c>
      <c r="E173" s="1" t="s">
        <v>13</v>
      </c>
      <c r="F173" s="2" t="s">
        <v>8</v>
      </c>
      <c r="G173" s="48">
        <v>0</v>
      </c>
      <c r="H173" s="48">
        <f t="shared" si="2"/>
        <v>0</v>
      </c>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c r="AV173" s="50"/>
      <c r="AW173" s="50"/>
      <c r="AX173" s="50"/>
      <c r="AY173" s="50"/>
      <c r="AZ173" s="50"/>
      <c r="BA173" s="50"/>
      <c r="BB173" s="50"/>
      <c r="BC173" s="50"/>
      <c r="BD173" s="50"/>
      <c r="BE173" s="50"/>
      <c r="BF173" s="50"/>
    </row>
    <row r="174" spans="1:58" s="1" customFormat="1" ht="25.5">
      <c r="A174" s="1" t="s">
        <v>919</v>
      </c>
      <c r="B174" s="1" t="s">
        <v>909</v>
      </c>
      <c r="C174" s="1" t="s">
        <v>577</v>
      </c>
      <c r="D174" s="1" t="s">
        <v>920</v>
      </c>
      <c r="E174" s="1" t="s">
        <v>13</v>
      </c>
      <c r="F174" s="2" t="s">
        <v>8</v>
      </c>
      <c r="G174" s="48">
        <v>0</v>
      </c>
      <c r="H174" s="48">
        <f t="shared" si="2"/>
        <v>0</v>
      </c>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c r="AZ174" s="50"/>
      <c r="BA174" s="50"/>
      <c r="BB174" s="50"/>
      <c r="BC174" s="50"/>
      <c r="BD174" s="50"/>
      <c r="BE174" s="50"/>
      <c r="BF174" s="50"/>
    </row>
    <row r="175" spans="1:58" s="1" customFormat="1" ht="25.5">
      <c r="A175" s="1" t="s">
        <v>921</v>
      </c>
      <c r="B175" s="1" t="s">
        <v>909</v>
      </c>
      <c r="C175" s="1" t="s">
        <v>577</v>
      </c>
      <c r="D175" s="1" t="s">
        <v>922</v>
      </c>
      <c r="E175" s="1" t="s">
        <v>13</v>
      </c>
      <c r="F175" s="2" t="s">
        <v>8</v>
      </c>
      <c r="G175" s="48">
        <v>0</v>
      </c>
      <c r="H175" s="48">
        <f t="shared" si="2"/>
        <v>0</v>
      </c>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c r="AV175" s="50"/>
      <c r="AW175" s="50"/>
      <c r="AX175" s="50"/>
      <c r="AY175" s="50"/>
      <c r="AZ175" s="50"/>
      <c r="BA175" s="50"/>
      <c r="BB175" s="50"/>
      <c r="BC175" s="50"/>
      <c r="BD175" s="50"/>
      <c r="BE175" s="50"/>
      <c r="BF175" s="50"/>
    </row>
    <row r="176" spans="1:58" s="1" customFormat="1" ht="102">
      <c r="A176" s="1" t="s">
        <v>923</v>
      </c>
      <c r="B176" s="1" t="s">
        <v>924</v>
      </c>
      <c r="C176" s="1" t="s">
        <v>925</v>
      </c>
      <c r="D176" s="1" t="s">
        <v>926</v>
      </c>
      <c r="E176" s="1" t="s">
        <v>13</v>
      </c>
      <c r="F176" s="2" t="s">
        <v>8</v>
      </c>
      <c r="G176" s="48">
        <v>0</v>
      </c>
      <c r="H176" s="48">
        <f t="shared" si="2"/>
        <v>0</v>
      </c>
      <c r="I176" s="49">
        <f>SUM(H177:H268)</f>
        <v>16733.48</v>
      </c>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c r="AP176" s="50"/>
      <c r="AQ176" s="50"/>
      <c r="AR176" s="50"/>
      <c r="AS176" s="50"/>
      <c r="AT176" s="50"/>
      <c r="AU176" s="50"/>
      <c r="AV176" s="50"/>
      <c r="AW176" s="50"/>
      <c r="AX176" s="50"/>
      <c r="AY176" s="50"/>
      <c r="AZ176" s="50"/>
      <c r="BA176" s="50"/>
      <c r="BB176" s="50"/>
      <c r="BC176" s="50"/>
      <c r="BD176" s="50"/>
      <c r="BE176" s="50"/>
      <c r="BF176" s="50"/>
    </row>
    <row r="177" spans="1:58" s="1" customFormat="1" ht="38.25">
      <c r="A177" s="1" t="s">
        <v>927</v>
      </c>
      <c r="B177" s="1" t="s">
        <v>924</v>
      </c>
      <c r="C177" s="1" t="s">
        <v>928</v>
      </c>
      <c r="D177" s="1" t="s">
        <v>929</v>
      </c>
      <c r="E177" s="1" t="s">
        <v>608</v>
      </c>
      <c r="F177" s="2" t="s">
        <v>297</v>
      </c>
      <c r="G177" s="48">
        <v>0</v>
      </c>
      <c r="H177" s="48">
        <f t="shared" si="2"/>
        <v>0</v>
      </c>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c r="AV177" s="50"/>
      <c r="AW177" s="50"/>
      <c r="AX177" s="50"/>
      <c r="AY177" s="50"/>
      <c r="AZ177" s="50"/>
      <c r="BA177" s="50"/>
      <c r="BB177" s="50"/>
      <c r="BC177" s="50"/>
      <c r="BD177" s="50"/>
      <c r="BE177" s="50"/>
      <c r="BF177" s="50"/>
    </row>
    <row r="178" spans="1:58" s="1" customFormat="1" ht="51">
      <c r="A178" s="1" t="s">
        <v>930</v>
      </c>
      <c r="B178" s="1" t="s">
        <v>924</v>
      </c>
      <c r="C178" s="1" t="s">
        <v>931</v>
      </c>
      <c r="D178" s="1" t="s">
        <v>932</v>
      </c>
      <c r="E178" s="1" t="s">
        <v>608</v>
      </c>
      <c r="F178" s="2" t="s">
        <v>297</v>
      </c>
      <c r="G178" s="48">
        <v>0</v>
      </c>
      <c r="H178" s="48">
        <f t="shared" si="2"/>
        <v>0</v>
      </c>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c r="AP178" s="50"/>
      <c r="AQ178" s="50"/>
      <c r="AR178" s="50"/>
      <c r="AS178" s="50"/>
      <c r="AT178" s="50"/>
      <c r="AU178" s="50"/>
      <c r="AV178" s="50"/>
      <c r="AW178" s="50"/>
      <c r="AX178" s="50"/>
      <c r="AY178" s="50"/>
      <c r="AZ178" s="50"/>
      <c r="BA178" s="50"/>
      <c r="BB178" s="50"/>
      <c r="BC178" s="50"/>
      <c r="BD178" s="50"/>
      <c r="BE178" s="50"/>
      <c r="BF178" s="50"/>
    </row>
    <row r="179" spans="1:58" s="1" customFormat="1" ht="38.25">
      <c r="A179" s="1" t="s">
        <v>933</v>
      </c>
      <c r="B179" s="1" t="s">
        <v>924</v>
      </c>
      <c r="C179" s="1" t="s">
        <v>934</v>
      </c>
      <c r="D179" s="1" t="s">
        <v>935</v>
      </c>
      <c r="E179" s="1" t="s">
        <v>13</v>
      </c>
      <c r="F179" s="2" t="s">
        <v>8</v>
      </c>
      <c r="G179" s="48">
        <v>0</v>
      </c>
      <c r="H179" s="48">
        <f t="shared" si="2"/>
        <v>0</v>
      </c>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c r="AP179" s="50"/>
      <c r="AQ179" s="50"/>
      <c r="AR179" s="50"/>
      <c r="AS179" s="50"/>
      <c r="AT179" s="50"/>
      <c r="AU179" s="50"/>
      <c r="AV179" s="50"/>
      <c r="AW179" s="50"/>
      <c r="AX179" s="50"/>
      <c r="AY179" s="50"/>
      <c r="AZ179" s="50"/>
      <c r="BA179" s="50"/>
      <c r="BB179" s="50"/>
      <c r="BC179" s="50"/>
      <c r="BD179" s="50"/>
      <c r="BE179" s="50"/>
      <c r="BF179" s="50"/>
    </row>
    <row r="180" spans="1:58" s="1" customFormat="1" ht="51">
      <c r="A180" s="1" t="s">
        <v>936</v>
      </c>
      <c r="B180" s="1" t="s">
        <v>924</v>
      </c>
      <c r="C180" s="1" t="s">
        <v>937</v>
      </c>
      <c r="D180" s="1" t="s">
        <v>938</v>
      </c>
      <c r="E180" s="1" t="s">
        <v>13</v>
      </c>
      <c r="F180" s="2" t="s">
        <v>8</v>
      </c>
      <c r="G180" s="48">
        <v>0</v>
      </c>
      <c r="H180" s="48">
        <f t="shared" si="2"/>
        <v>0</v>
      </c>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50"/>
      <c r="AN180" s="50"/>
      <c r="AO180" s="50"/>
      <c r="AP180" s="50"/>
      <c r="AQ180" s="50"/>
      <c r="AR180" s="50"/>
      <c r="AS180" s="50"/>
      <c r="AT180" s="50"/>
      <c r="AU180" s="50"/>
      <c r="AV180" s="50"/>
      <c r="AW180" s="50"/>
      <c r="AX180" s="50"/>
      <c r="AY180" s="50"/>
      <c r="AZ180" s="50"/>
      <c r="BA180" s="50"/>
      <c r="BB180" s="50"/>
      <c r="BC180" s="50"/>
      <c r="BD180" s="50"/>
      <c r="BE180" s="50"/>
      <c r="BF180" s="50"/>
    </row>
    <row r="181" spans="1:58" s="1" customFormat="1" ht="38.25">
      <c r="A181" s="1" t="s">
        <v>939</v>
      </c>
      <c r="B181" s="1" t="s">
        <v>924</v>
      </c>
      <c r="C181" s="1" t="s">
        <v>940</v>
      </c>
      <c r="D181" s="1" t="s">
        <v>941</v>
      </c>
      <c r="E181" s="1" t="s">
        <v>585</v>
      </c>
      <c r="F181" s="2" t="s">
        <v>8</v>
      </c>
      <c r="G181" s="48">
        <v>0</v>
      </c>
      <c r="H181" s="48">
        <f t="shared" si="2"/>
        <v>0</v>
      </c>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50"/>
      <c r="AN181" s="50"/>
      <c r="AO181" s="50"/>
      <c r="AP181" s="50"/>
      <c r="AQ181" s="50"/>
      <c r="AR181" s="50"/>
      <c r="AS181" s="50"/>
      <c r="AT181" s="50"/>
      <c r="AU181" s="50"/>
      <c r="AV181" s="50"/>
      <c r="AW181" s="50"/>
      <c r="AX181" s="50"/>
      <c r="AY181" s="50"/>
      <c r="AZ181" s="50"/>
      <c r="BA181" s="50"/>
      <c r="BB181" s="50"/>
      <c r="BC181" s="50"/>
      <c r="BD181" s="50"/>
      <c r="BE181" s="50"/>
      <c r="BF181" s="50"/>
    </row>
    <row r="182" spans="1:58" s="1" customFormat="1" ht="102">
      <c r="A182" s="1" t="s">
        <v>942</v>
      </c>
      <c r="B182" s="1" t="s">
        <v>924</v>
      </c>
      <c r="C182" s="1" t="s">
        <v>943</v>
      </c>
      <c r="D182" s="1" t="s">
        <v>944</v>
      </c>
      <c r="E182" s="1" t="s">
        <v>585</v>
      </c>
      <c r="F182" s="2" t="s">
        <v>8</v>
      </c>
      <c r="G182" s="48">
        <v>0</v>
      </c>
      <c r="H182" s="48">
        <f t="shared" si="2"/>
        <v>0</v>
      </c>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50"/>
      <c r="AN182" s="50"/>
      <c r="AO182" s="50"/>
      <c r="AP182" s="50"/>
      <c r="AQ182" s="50"/>
      <c r="AR182" s="50"/>
      <c r="AS182" s="50"/>
      <c r="AT182" s="50"/>
      <c r="AU182" s="50"/>
      <c r="AV182" s="50"/>
      <c r="AW182" s="50"/>
      <c r="AX182" s="50"/>
      <c r="AY182" s="50"/>
      <c r="AZ182" s="50"/>
      <c r="BA182" s="50"/>
      <c r="BB182" s="50"/>
      <c r="BC182" s="50"/>
      <c r="BD182" s="50"/>
      <c r="BE182" s="50"/>
      <c r="BF182" s="50"/>
    </row>
    <row r="183" spans="1:58" s="1" customFormat="1" ht="76.5">
      <c r="A183" s="1" t="s">
        <v>945</v>
      </c>
      <c r="B183" s="1" t="s">
        <v>924</v>
      </c>
      <c r="C183" s="1" t="s">
        <v>946</v>
      </c>
      <c r="D183" s="1" t="s">
        <v>947</v>
      </c>
      <c r="E183" s="1" t="s">
        <v>585</v>
      </c>
      <c r="F183" s="2" t="s">
        <v>8</v>
      </c>
      <c r="G183" s="48">
        <v>0</v>
      </c>
      <c r="H183" s="48">
        <f t="shared" si="2"/>
        <v>0</v>
      </c>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c r="AP183" s="50"/>
      <c r="AQ183" s="50"/>
      <c r="AR183" s="50"/>
      <c r="AS183" s="50"/>
      <c r="AT183" s="50"/>
      <c r="AU183" s="50"/>
      <c r="AV183" s="50"/>
      <c r="AW183" s="50"/>
      <c r="AX183" s="50"/>
      <c r="AY183" s="50"/>
      <c r="AZ183" s="50"/>
      <c r="BA183" s="50"/>
      <c r="BB183" s="50"/>
      <c r="BC183" s="50"/>
      <c r="BD183" s="50"/>
      <c r="BE183" s="50"/>
      <c r="BF183" s="50"/>
    </row>
    <row r="184" spans="1:58" s="1" customFormat="1" ht="38.25">
      <c r="A184" s="1" t="s">
        <v>948</v>
      </c>
      <c r="B184" s="1" t="s">
        <v>924</v>
      </c>
      <c r="C184" s="1" t="s">
        <v>928</v>
      </c>
      <c r="D184" s="1" t="s">
        <v>949</v>
      </c>
      <c r="E184" s="1" t="s">
        <v>608</v>
      </c>
      <c r="F184" s="2" t="s">
        <v>38</v>
      </c>
      <c r="G184" s="48">
        <v>0</v>
      </c>
      <c r="H184" s="48">
        <f t="shared" si="2"/>
        <v>0</v>
      </c>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c r="AV184" s="50"/>
      <c r="AW184" s="50"/>
      <c r="AX184" s="50"/>
      <c r="AY184" s="50"/>
      <c r="AZ184" s="50"/>
      <c r="BA184" s="50"/>
      <c r="BB184" s="50"/>
      <c r="BC184" s="50"/>
      <c r="BD184" s="50"/>
      <c r="BE184" s="50"/>
      <c r="BF184" s="50"/>
    </row>
    <row r="185" spans="1:58" s="1" customFormat="1" ht="51">
      <c r="A185" s="1" t="s">
        <v>950</v>
      </c>
      <c r="B185" s="1" t="s">
        <v>924</v>
      </c>
      <c r="C185" s="1" t="s">
        <v>928</v>
      </c>
      <c r="D185" s="1" t="s">
        <v>951</v>
      </c>
      <c r="E185" s="1" t="s">
        <v>608</v>
      </c>
      <c r="F185" s="2" t="s">
        <v>67</v>
      </c>
      <c r="G185" s="48">
        <v>0</v>
      </c>
      <c r="H185" s="48">
        <f t="shared" si="2"/>
        <v>0</v>
      </c>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c r="AV185" s="50"/>
      <c r="AW185" s="50"/>
      <c r="AX185" s="50"/>
      <c r="AY185" s="50"/>
      <c r="AZ185" s="50"/>
      <c r="BA185" s="50"/>
      <c r="BB185" s="50"/>
      <c r="BC185" s="50"/>
      <c r="BD185" s="50"/>
      <c r="BE185" s="50"/>
      <c r="BF185" s="50"/>
    </row>
    <row r="186" spans="1:58" s="1" customFormat="1" ht="63.75">
      <c r="A186" s="1" t="s">
        <v>952</v>
      </c>
      <c r="B186" s="1" t="s">
        <v>924</v>
      </c>
      <c r="C186" s="1" t="s">
        <v>953</v>
      </c>
      <c r="D186" s="1" t="s">
        <v>954</v>
      </c>
      <c r="E186" s="1" t="s">
        <v>585</v>
      </c>
      <c r="F186" s="2" t="s">
        <v>8</v>
      </c>
      <c r="G186" s="48">
        <v>0</v>
      </c>
      <c r="H186" s="48">
        <f t="shared" si="2"/>
        <v>0</v>
      </c>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Q186" s="50"/>
      <c r="AR186" s="50"/>
      <c r="AS186" s="50"/>
      <c r="AT186" s="50"/>
      <c r="AU186" s="50"/>
      <c r="AV186" s="50"/>
      <c r="AW186" s="50"/>
      <c r="AX186" s="50"/>
      <c r="AY186" s="50"/>
      <c r="AZ186" s="50"/>
      <c r="BA186" s="50"/>
      <c r="BB186" s="50"/>
      <c r="BC186" s="50"/>
      <c r="BD186" s="50"/>
      <c r="BE186" s="50"/>
      <c r="BF186" s="50"/>
    </row>
    <row r="187" spans="1:58" s="1" customFormat="1" ht="38.25">
      <c r="A187" s="1" t="s">
        <v>955</v>
      </c>
      <c r="B187" s="1" t="s">
        <v>924</v>
      </c>
      <c r="C187" s="1" t="s">
        <v>924</v>
      </c>
      <c r="D187" s="1" t="s">
        <v>956</v>
      </c>
      <c r="E187" s="1" t="s">
        <v>13</v>
      </c>
      <c r="F187" s="2" t="s">
        <v>8</v>
      </c>
      <c r="G187" s="48">
        <v>0</v>
      </c>
      <c r="H187" s="48">
        <f t="shared" si="2"/>
        <v>0</v>
      </c>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c r="AS187" s="50"/>
      <c r="AT187" s="50"/>
      <c r="AU187" s="50"/>
      <c r="AV187" s="50"/>
      <c r="AW187" s="50"/>
      <c r="AX187" s="50"/>
      <c r="AY187" s="50"/>
      <c r="AZ187" s="50"/>
      <c r="BA187" s="50"/>
      <c r="BB187" s="50"/>
      <c r="BC187" s="50"/>
      <c r="BD187" s="50"/>
      <c r="BE187" s="50"/>
      <c r="BF187" s="50"/>
    </row>
    <row r="188" spans="1:58" s="1" customFormat="1" ht="38.25">
      <c r="A188" s="1" t="s">
        <v>957</v>
      </c>
      <c r="B188" s="1" t="s">
        <v>924</v>
      </c>
      <c r="C188" s="1" t="s">
        <v>958</v>
      </c>
      <c r="D188" s="1" t="s">
        <v>959</v>
      </c>
      <c r="E188" s="1" t="s">
        <v>608</v>
      </c>
      <c r="F188" s="2" t="s">
        <v>960</v>
      </c>
      <c r="G188" s="48">
        <v>0</v>
      </c>
      <c r="H188" s="48">
        <f t="shared" si="2"/>
        <v>0</v>
      </c>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c r="AZ188" s="50"/>
      <c r="BA188" s="50"/>
      <c r="BB188" s="50"/>
      <c r="BC188" s="50"/>
      <c r="BD188" s="50"/>
      <c r="BE188" s="50"/>
      <c r="BF188" s="50"/>
    </row>
    <row r="189" spans="1:58" s="1" customFormat="1" ht="38.25">
      <c r="A189" s="1" t="s">
        <v>961</v>
      </c>
      <c r="B189" s="1" t="s">
        <v>924</v>
      </c>
      <c r="C189" s="1" t="s">
        <v>962</v>
      </c>
      <c r="D189" s="1" t="s">
        <v>962</v>
      </c>
      <c r="E189" s="1" t="s">
        <v>608</v>
      </c>
      <c r="F189" s="2" t="s">
        <v>960</v>
      </c>
      <c r="G189" s="48">
        <v>0</v>
      </c>
      <c r="H189" s="48">
        <f t="shared" si="2"/>
        <v>0</v>
      </c>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c r="AV189" s="50"/>
      <c r="AW189" s="50"/>
      <c r="AX189" s="50"/>
      <c r="AY189" s="50"/>
      <c r="AZ189" s="50"/>
      <c r="BA189" s="50"/>
      <c r="BB189" s="50"/>
      <c r="BC189" s="50"/>
      <c r="BD189" s="50"/>
      <c r="BE189" s="50"/>
      <c r="BF189" s="50"/>
    </row>
    <row r="190" spans="1:58" s="1" customFormat="1" ht="38.25">
      <c r="A190" s="1" t="s">
        <v>963</v>
      </c>
      <c r="B190" s="1" t="s">
        <v>924</v>
      </c>
      <c r="C190" s="1" t="s">
        <v>964</v>
      </c>
      <c r="D190" s="1" t="s">
        <v>965</v>
      </c>
      <c r="E190" s="1" t="s">
        <v>13</v>
      </c>
      <c r="F190" s="2" t="s">
        <v>8</v>
      </c>
      <c r="G190" s="48">
        <v>0</v>
      </c>
      <c r="H190" s="48">
        <f t="shared" si="2"/>
        <v>0</v>
      </c>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c r="AV190" s="50"/>
      <c r="AW190" s="50"/>
      <c r="AX190" s="50"/>
      <c r="AY190" s="50"/>
      <c r="AZ190" s="50"/>
      <c r="BA190" s="50"/>
      <c r="BB190" s="50"/>
      <c r="BC190" s="50"/>
      <c r="BD190" s="50"/>
      <c r="BE190" s="50"/>
      <c r="BF190" s="50"/>
    </row>
    <row r="191" spans="1:58" s="1" customFormat="1" ht="38.25">
      <c r="A191" s="1" t="s">
        <v>966</v>
      </c>
      <c r="B191" s="1" t="s">
        <v>924</v>
      </c>
      <c r="C191" s="1" t="s">
        <v>934</v>
      </c>
      <c r="D191" s="1" t="s">
        <v>935</v>
      </c>
      <c r="E191" s="1" t="s">
        <v>13</v>
      </c>
      <c r="F191" s="2" t="s">
        <v>8</v>
      </c>
      <c r="G191" s="48">
        <v>0</v>
      </c>
      <c r="H191" s="48">
        <f t="shared" si="2"/>
        <v>0</v>
      </c>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Q191" s="50"/>
      <c r="AR191" s="50"/>
      <c r="AS191" s="50"/>
      <c r="AT191" s="50"/>
      <c r="AU191" s="50"/>
      <c r="AV191" s="50"/>
      <c r="AW191" s="50"/>
      <c r="AX191" s="50"/>
      <c r="AY191" s="50"/>
      <c r="AZ191" s="50"/>
      <c r="BA191" s="50"/>
      <c r="BB191" s="50"/>
      <c r="BC191" s="50"/>
      <c r="BD191" s="50"/>
      <c r="BE191" s="50"/>
      <c r="BF191" s="50"/>
    </row>
    <row r="192" spans="1:58" s="1" customFormat="1" ht="102">
      <c r="A192" s="1" t="s">
        <v>967</v>
      </c>
      <c r="B192" s="1" t="s">
        <v>924</v>
      </c>
      <c r="C192" s="1" t="s">
        <v>968</v>
      </c>
      <c r="D192" s="1" t="s">
        <v>969</v>
      </c>
      <c r="E192" s="1" t="s">
        <v>13</v>
      </c>
      <c r="F192" s="2" t="s">
        <v>8</v>
      </c>
      <c r="G192" s="48">
        <v>0</v>
      </c>
      <c r="H192" s="48">
        <f t="shared" si="2"/>
        <v>0</v>
      </c>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Q192" s="50"/>
      <c r="AR192" s="50"/>
      <c r="AS192" s="50"/>
      <c r="AT192" s="50"/>
      <c r="AU192" s="50"/>
      <c r="AV192" s="50"/>
      <c r="AW192" s="50"/>
      <c r="AX192" s="50"/>
      <c r="AY192" s="50"/>
      <c r="AZ192" s="50"/>
      <c r="BA192" s="50"/>
      <c r="BB192" s="50"/>
      <c r="BC192" s="50"/>
      <c r="BD192" s="50"/>
      <c r="BE192" s="50"/>
      <c r="BF192" s="50"/>
    </row>
    <row r="193" spans="1:58" s="1" customFormat="1" ht="38.25">
      <c r="A193" s="1" t="s">
        <v>970</v>
      </c>
      <c r="B193" s="1" t="s">
        <v>924</v>
      </c>
      <c r="C193" s="1" t="s">
        <v>971</v>
      </c>
      <c r="D193" s="1" t="s">
        <v>972</v>
      </c>
      <c r="E193" s="1" t="s">
        <v>608</v>
      </c>
      <c r="F193" s="2" t="s">
        <v>697</v>
      </c>
      <c r="G193" s="48">
        <v>0</v>
      </c>
      <c r="H193" s="48">
        <f t="shared" si="2"/>
        <v>0</v>
      </c>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50"/>
      <c r="AN193" s="50"/>
      <c r="AO193" s="50"/>
      <c r="AP193" s="50"/>
      <c r="AQ193" s="50"/>
      <c r="AR193" s="50"/>
      <c r="AS193" s="50"/>
      <c r="AT193" s="50"/>
      <c r="AU193" s="50"/>
      <c r="AV193" s="50"/>
      <c r="AW193" s="50"/>
      <c r="AX193" s="50"/>
      <c r="AY193" s="50"/>
      <c r="AZ193" s="50"/>
      <c r="BA193" s="50"/>
      <c r="BB193" s="50"/>
      <c r="BC193" s="50"/>
      <c r="BD193" s="50"/>
      <c r="BE193" s="50"/>
      <c r="BF193" s="50"/>
    </row>
    <row r="194" spans="1:58" s="1" customFormat="1" ht="38.25">
      <c r="A194" s="1" t="s">
        <v>973</v>
      </c>
      <c r="B194" s="1" t="s">
        <v>924</v>
      </c>
      <c r="C194" s="1" t="s">
        <v>971</v>
      </c>
      <c r="D194" s="1" t="s">
        <v>974</v>
      </c>
      <c r="E194" s="1" t="s">
        <v>608</v>
      </c>
      <c r="F194" s="2" t="s">
        <v>975</v>
      </c>
      <c r="G194" s="48">
        <v>0</v>
      </c>
      <c r="H194" s="48">
        <f t="shared" ref="H194:H257" si="3">F194*G194</f>
        <v>0</v>
      </c>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Q194" s="50"/>
      <c r="AR194" s="50"/>
      <c r="AS194" s="50"/>
      <c r="AT194" s="50"/>
      <c r="AU194" s="50"/>
      <c r="AV194" s="50"/>
      <c r="AW194" s="50"/>
      <c r="AX194" s="50"/>
      <c r="AY194" s="50"/>
      <c r="AZ194" s="50"/>
      <c r="BA194" s="50"/>
      <c r="BB194" s="50"/>
      <c r="BC194" s="50"/>
      <c r="BD194" s="50"/>
      <c r="BE194" s="50"/>
      <c r="BF194" s="50"/>
    </row>
    <row r="195" spans="1:58" s="1" customFormat="1" ht="76.5">
      <c r="A195" s="1" t="s">
        <v>976</v>
      </c>
      <c r="B195" s="1" t="s">
        <v>924</v>
      </c>
      <c r="C195" s="1" t="s">
        <v>577</v>
      </c>
      <c r="D195" s="1" t="s">
        <v>977</v>
      </c>
      <c r="E195" s="1" t="s">
        <v>13</v>
      </c>
      <c r="F195" s="2" t="s">
        <v>8</v>
      </c>
      <c r="G195" s="48">
        <v>0</v>
      </c>
      <c r="H195" s="48">
        <f t="shared" si="3"/>
        <v>0</v>
      </c>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c r="AY195" s="50"/>
      <c r="AZ195" s="50"/>
      <c r="BA195" s="50"/>
      <c r="BB195" s="50"/>
      <c r="BC195" s="50"/>
      <c r="BD195" s="50"/>
      <c r="BE195" s="50"/>
      <c r="BF195" s="50"/>
    </row>
    <row r="196" spans="1:58" s="1" customFormat="1" ht="38.25">
      <c r="A196" s="1" t="s">
        <v>978</v>
      </c>
      <c r="B196" s="1" t="s">
        <v>924</v>
      </c>
      <c r="C196" s="1" t="s">
        <v>577</v>
      </c>
      <c r="D196" s="1" t="s">
        <v>979</v>
      </c>
      <c r="E196" s="1" t="s">
        <v>13</v>
      </c>
      <c r="F196" s="2" t="s">
        <v>8</v>
      </c>
      <c r="G196" s="48">
        <v>0</v>
      </c>
      <c r="H196" s="48">
        <f t="shared" si="3"/>
        <v>0</v>
      </c>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c r="AV196" s="50"/>
      <c r="AW196" s="50"/>
      <c r="AX196" s="50"/>
      <c r="AY196" s="50"/>
      <c r="AZ196" s="50"/>
      <c r="BA196" s="50"/>
      <c r="BB196" s="50"/>
      <c r="BC196" s="50"/>
      <c r="BD196" s="50"/>
      <c r="BE196" s="50"/>
      <c r="BF196" s="50"/>
    </row>
    <row r="197" spans="1:58" s="1" customFormat="1" ht="38.25">
      <c r="A197" s="1" t="s">
        <v>980</v>
      </c>
      <c r="B197" s="1" t="s">
        <v>924</v>
      </c>
      <c r="C197" s="1" t="s">
        <v>577</v>
      </c>
      <c r="D197" s="1" t="s">
        <v>981</v>
      </c>
      <c r="E197" s="1" t="s">
        <v>13</v>
      </c>
      <c r="F197" s="2" t="s">
        <v>8</v>
      </c>
      <c r="G197" s="48">
        <v>0</v>
      </c>
      <c r="H197" s="48">
        <f t="shared" si="3"/>
        <v>0</v>
      </c>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c r="AW197" s="50"/>
      <c r="AX197" s="50"/>
      <c r="AY197" s="50"/>
      <c r="AZ197" s="50"/>
      <c r="BA197" s="50"/>
      <c r="BB197" s="50"/>
      <c r="BC197" s="50"/>
      <c r="BD197" s="50"/>
      <c r="BE197" s="50"/>
      <c r="BF197" s="50"/>
    </row>
    <row r="198" spans="1:58" s="1" customFormat="1" ht="38.25">
      <c r="A198" s="1" t="s">
        <v>982</v>
      </c>
      <c r="B198" s="1" t="s">
        <v>924</v>
      </c>
      <c r="C198" s="1" t="s">
        <v>577</v>
      </c>
      <c r="D198" s="1" t="s">
        <v>983</v>
      </c>
      <c r="E198" s="1" t="s">
        <v>13</v>
      </c>
      <c r="F198" s="2" t="s">
        <v>8</v>
      </c>
      <c r="G198" s="48">
        <v>0</v>
      </c>
      <c r="H198" s="48">
        <f t="shared" si="3"/>
        <v>0</v>
      </c>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c r="AV198" s="50"/>
      <c r="AW198" s="50"/>
      <c r="AX198" s="50"/>
      <c r="AY198" s="50"/>
      <c r="AZ198" s="50"/>
      <c r="BA198" s="50"/>
      <c r="BB198" s="50"/>
      <c r="BC198" s="50"/>
      <c r="BD198" s="50"/>
      <c r="BE198" s="50"/>
      <c r="BF198" s="50"/>
    </row>
    <row r="199" spans="1:58" s="1" customFormat="1" ht="38.25">
      <c r="A199" s="1" t="s">
        <v>984</v>
      </c>
      <c r="B199" s="1" t="s">
        <v>924</v>
      </c>
      <c r="C199" s="1" t="s">
        <v>577</v>
      </c>
      <c r="D199" s="1" t="s">
        <v>985</v>
      </c>
      <c r="E199" s="1" t="s">
        <v>13</v>
      </c>
      <c r="F199" s="2" t="s">
        <v>8</v>
      </c>
      <c r="G199" s="48">
        <v>0</v>
      </c>
      <c r="H199" s="48">
        <f t="shared" si="3"/>
        <v>0</v>
      </c>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c r="AS199" s="50"/>
      <c r="AT199" s="50"/>
      <c r="AU199" s="50"/>
      <c r="AV199" s="50"/>
      <c r="AW199" s="50"/>
      <c r="AX199" s="50"/>
      <c r="AY199" s="50"/>
      <c r="AZ199" s="50"/>
      <c r="BA199" s="50"/>
      <c r="BB199" s="50"/>
      <c r="BC199" s="50"/>
      <c r="BD199" s="50"/>
      <c r="BE199" s="50"/>
      <c r="BF199" s="50"/>
    </row>
    <row r="200" spans="1:58" s="1" customFormat="1" ht="153">
      <c r="A200" s="1" t="s">
        <v>986</v>
      </c>
      <c r="B200" s="1" t="s">
        <v>987</v>
      </c>
      <c r="C200" s="1" t="s">
        <v>988</v>
      </c>
      <c r="D200" s="1" t="s">
        <v>989</v>
      </c>
      <c r="E200" s="1" t="s">
        <v>491</v>
      </c>
      <c r="F200" s="2" t="s">
        <v>29</v>
      </c>
      <c r="G200" s="48">
        <v>14</v>
      </c>
      <c r="H200" s="48">
        <f t="shared" si="3"/>
        <v>84</v>
      </c>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50"/>
      <c r="AX200" s="50"/>
      <c r="AY200" s="50"/>
      <c r="AZ200" s="50"/>
      <c r="BA200" s="50"/>
      <c r="BB200" s="50"/>
      <c r="BC200" s="50"/>
      <c r="BD200" s="50"/>
      <c r="BE200" s="50"/>
      <c r="BF200" s="50"/>
    </row>
    <row r="201" spans="1:58" s="1" customFormat="1" ht="76.5">
      <c r="A201" s="1" t="s">
        <v>990</v>
      </c>
      <c r="B201" s="1" t="s">
        <v>987</v>
      </c>
      <c r="C201" s="1" t="s">
        <v>928</v>
      </c>
      <c r="D201" s="1" t="s">
        <v>991</v>
      </c>
      <c r="E201" s="1" t="s">
        <v>608</v>
      </c>
      <c r="F201" s="2" t="s">
        <v>706</v>
      </c>
      <c r="G201" s="48">
        <v>0</v>
      </c>
      <c r="H201" s="48">
        <f t="shared" si="3"/>
        <v>0</v>
      </c>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c r="AS201" s="50"/>
      <c r="AT201" s="50"/>
      <c r="AU201" s="50"/>
      <c r="AV201" s="50"/>
      <c r="AW201" s="50"/>
      <c r="AX201" s="50"/>
      <c r="AY201" s="50"/>
      <c r="AZ201" s="50"/>
      <c r="BA201" s="50"/>
      <c r="BB201" s="50"/>
      <c r="BC201" s="50"/>
      <c r="BD201" s="50"/>
      <c r="BE201" s="50"/>
      <c r="BF201" s="50"/>
    </row>
    <row r="202" spans="1:58" s="1" customFormat="1" ht="76.5">
      <c r="A202" s="1" t="s">
        <v>992</v>
      </c>
      <c r="B202" s="1" t="s">
        <v>987</v>
      </c>
      <c r="C202" s="1" t="s">
        <v>993</v>
      </c>
      <c r="D202" s="1" t="s">
        <v>994</v>
      </c>
      <c r="E202" s="1" t="s">
        <v>585</v>
      </c>
      <c r="F202" s="2" t="s">
        <v>54</v>
      </c>
      <c r="G202" s="48">
        <v>0</v>
      </c>
      <c r="H202" s="48">
        <f t="shared" si="3"/>
        <v>0</v>
      </c>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c r="AS202" s="50"/>
      <c r="AT202" s="50"/>
      <c r="AU202" s="50"/>
      <c r="AV202" s="50"/>
      <c r="AW202" s="50"/>
      <c r="AX202" s="50"/>
      <c r="AY202" s="50"/>
      <c r="AZ202" s="50"/>
      <c r="BA202" s="50"/>
      <c r="BB202" s="50"/>
      <c r="BC202" s="50"/>
      <c r="BD202" s="50"/>
      <c r="BE202" s="50"/>
      <c r="BF202" s="50"/>
    </row>
    <row r="203" spans="1:58" s="1" customFormat="1" ht="76.5">
      <c r="A203" s="1" t="s">
        <v>995</v>
      </c>
      <c r="B203" s="1" t="s">
        <v>987</v>
      </c>
      <c r="C203" s="1" t="s">
        <v>993</v>
      </c>
      <c r="D203" s="1" t="s">
        <v>996</v>
      </c>
      <c r="E203" s="1" t="s">
        <v>585</v>
      </c>
      <c r="F203" s="2" t="s">
        <v>120</v>
      </c>
      <c r="G203" s="48">
        <v>0</v>
      </c>
      <c r="H203" s="48">
        <f t="shared" si="3"/>
        <v>0</v>
      </c>
      <c r="I203" s="50"/>
      <c r="J203" s="50"/>
      <c r="K203" s="50"/>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0"/>
      <c r="AP203" s="50"/>
      <c r="AQ203" s="50"/>
      <c r="AR203" s="50"/>
      <c r="AS203" s="50"/>
      <c r="AT203" s="50"/>
      <c r="AU203" s="50"/>
      <c r="AV203" s="50"/>
      <c r="AW203" s="50"/>
      <c r="AX203" s="50"/>
      <c r="AY203" s="50"/>
      <c r="AZ203" s="50"/>
      <c r="BA203" s="50"/>
      <c r="BB203" s="50"/>
      <c r="BC203" s="50"/>
      <c r="BD203" s="50"/>
      <c r="BE203" s="50"/>
      <c r="BF203" s="50"/>
    </row>
    <row r="204" spans="1:58" s="1" customFormat="1" ht="114.75">
      <c r="A204" s="1" t="s">
        <v>997</v>
      </c>
      <c r="B204" s="1" t="s">
        <v>998</v>
      </c>
      <c r="C204" s="1" t="s">
        <v>999</v>
      </c>
      <c r="D204" s="1" t="s">
        <v>1000</v>
      </c>
      <c r="E204" s="1" t="s">
        <v>585</v>
      </c>
      <c r="F204" s="2" t="s">
        <v>67</v>
      </c>
      <c r="G204" s="48">
        <v>0</v>
      </c>
      <c r="H204" s="48">
        <f t="shared" si="3"/>
        <v>0</v>
      </c>
      <c r="I204" s="50"/>
      <c r="J204" s="50"/>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c r="AS204" s="50"/>
      <c r="AT204" s="50"/>
      <c r="AU204" s="50"/>
      <c r="AV204" s="50"/>
      <c r="AW204" s="50"/>
      <c r="AX204" s="50"/>
      <c r="AY204" s="50"/>
      <c r="AZ204" s="50"/>
      <c r="BA204" s="50"/>
      <c r="BB204" s="50"/>
      <c r="BC204" s="50"/>
      <c r="BD204" s="50"/>
      <c r="BE204" s="50"/>
      <c r="BF204" s="50"/>
    </row>
    <row r="205" spans="1:58" s="1" customFormat="1" ht="51">
      <c r="A205" s="1" t="s">
        <v>1001</v>
      </c>
      <c r="B205" s="1" t="s">
        <v>998</v>
      </c>
      <c r="C205" s="1" t="s">
        <v>925</v>
      </c>
      <c r="D205" s="1" t="s">
        <v>1002</v>
      </c>
      <c r="E205" s="1" t="s">
        <v>13</v>
      </c>
      <c r="F205" s="2" t="s">
        <v>8</v>
      </c>
      <c r="G205" s="48">
        <v>0</v>
      </c>
      <c r="H205" s="48">
        <f t="shared" si="3"/>
        <v>0</v>
      </c>
      <c r="I205" s="50"/>
      <c r="J205" s="50"/>
      <c r="K205" s="50"/>
      <c r="L205" s="50"/>
      <c r="M205" s="50"/>
      <c r="N205" s="50"/>
      <c r="O205" s="50"/>
      <c r="P205" s="50"/>
      <c r="Q205" s="50"/>
      <c r="R205" s="50"/>
      <c r="S205" s="50"/>
      <c r="T205" s="50"/>
      <c r="U205" s="50"/>
      <c r="V205" s="50"/>
      <c r="W205" s="50"/>
      <c r="X205" s="50"/>
      <c r="Y205" s="50"/>
      <c r="Z205" s="50"/>
      <c r="AA205" s="50"/>
      <c r="AB205" s="50"/>
      <c r="AC205" s="50"/>
      <c r="AD205" s="50"/>
      <c r="AE205" s="50"/>
      <c r="AF205" s="50"/>
      <c r="AG205" s="50"/>
      <c r="AH205" s="50"/>
      <c r="AI205" s="50"/>
      <c r="AJ205" s="50"/>
      <c r="AK205" s="50"/>
      <c r="AL205" s="50"/>
      <c r="AM205" s="50"/>
      <c r="AN205" s="50"/>
      <c r="AO205" s="50"/>
      <c r="AP205" s="50"/>
      <c r="AQ205" s="50"/>
      <c r="AR205" s="50"/>
      <c r="AS205" s="50"/>
      <c r="AT205" s="50"/>
      <c r="AU205" s="50"/>
      <c r="AV205" s="50"/>
      <c r="AW205" s="50"/>
      <c r="AX205" s="50"/>
      <c r="AY205" s="50"/>
      <c r="AZ205" s="50"/>
      <c r="BA205" s="50"/>
      <c r="BB205" s="50"/>
      <c r="BC205" s="50"/>
      <c r="BD205" s="50"/>
      <c r="BE205" s="50"/>
      <c r="BF205" s="50"/>
    </row>
    <row r="206" spans="1:58" s="1" customFormat="1" ht="38.25">
      <c r="A206" s="1" t="s">
        <v>1003</v>
      </c>
      <c r="B206" s="1" t="s">
        <v>924</v>
      </c>
      <c r="C206" s="1" t="s">
        <v>928</v>
      </c>
      <c r="D206" s="1" t="s">
        <v>1004</v>
      </c>
      <c r="E206" s="1" t="s">
        <v>608</v>
      </c>
      <c r="F206" s="2" t="s">
        <v>120</v>
      </c>
      <c r="G206" s="48">
        <v>0</v>
      </c>
      <c r="H206" s="48">
        <f t="shared" si="3"/>
        <v>0</v>
      </c>
      <c r="I206" s="50"/>
      <c r="J206" s="50"/>
      <c r="K206" s="50"/>
      <c r="L206" s="50"/>
      <c r="M206" s="50"/>
      <c r="N206" s="50"/>
      <c r="O206" s="50"/>
      <c r="P206" s="50"/>
      <c r="Q206" s="50"/>
      <c r="R206" s="50"/>
      <c r="S206" s="50"/>
      <c r="T206" s="50"/>
      <c r="U206" s="50"/>
      <c r="V206" s="50"/>
      <c r="W206" s="50"/>
      <c r="X206" s="50"/>
      <c r="Y206" s="50"/>
      <c r="Z206" s="50"/>
      <c r="AA206" s="50"/>
      <c r="AB206" s="50"/>
      <c r="AC206" s="50"/>
      <c r="AD206" s="50"/>
      <c r="AE206" s="50"/>
      <c r="AF206" s="50"/>
      <c r="AG206" s="50"/>
      <c r="AH206" s="50"/>
      <c r="AI206" s="50"/>
      <c r="AJ206" s="50"/>
      <c r="AK206" s="50"/>
      <c r="AL206" s="50"/>
      <c r="AM206" s="50"/>
      <c r="AN206" s="50"/>
      <c r="AO206" s="50"/>
      <c r="AP206" s="50"/>
      <c r="AQ206" s="50"/>
      <c r="AR206" s="50"/>
      <c r="AS206" s="50"/>
      <c r="AT206" s="50"/>
      <c r="AU206" s="50"/>
      <c r="AV206" s="50"/>
      <c r="AW206" s="50"/>
      <c r="AX206" s="50"/>
      <c r="AY206" s="50"/>
      <c r="AZ206" s="50"/>
      <c r="BA206" s="50"/>
      <c r="BB206" s="50"/>
      <c r="BC206" s="50"/>
      <c r="BD206" s="50"/>
      <c r="BE206" s="50"/>
      <c r="BF206" s="50"/>
    </row>
    <row r="207" spans="1:58" s="1" customFormat="1" ht="38.25">
      <c r="A207" s="1" t="s">
        <v>1005</v>
      </c>
      <c r="B207" s="1" t="s">
        <v>924</v>
      </c>
      <c r="C207" s="1" t="s">
        <v>928</v>
      </c>
      <c r="D207" s="1" t="s">
        <v>1006</v>
      </c>
      <c r="E207" s="1" t="s">
        <v>608</v>
      </c>
      <c r="F207" s="2" t="s">
        <v>67</v>
      </c>
      <c r="G207" s="48">
        <v>0</v>
      </c>
      <c r="H207" s="48">
        <f t="shared" si="3"/>
        <v>0</v>
      </c>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c r="AN207" s="50"/>
      <c r="AO207" s="50"/>
      <c r="AP207" s="50"/>
      <c r="AQ207" s="50"/>
      <c r="AR207" s="50"/>
      <c r="AS207" s="50"/>
      <c r="AT207" s="50"/>
      <c r="AU207" s="50"/>
      <c r="AV207" s="50"/>
      <c r="AW207" s="50"/>
      <c r="AX207" s="50"/>
      <c r="AY207" s="50"/>
      <c r="AZ207" s="50"/>
      <c r="BA207" s="50"/>
      <c r="BB207" s="50"/>
      <c r="BC207" s="50"/>
      <c r="BD207" s="50"/>
      <c r="BE207" s="50"/>
      <c r="BF207" s="50"/>
    </row>
    <row r="208" spans="1:58" s="1" customFormat="1" ht="38.25">
      <c r="A208" s="1" t="s">
        <v>1007</v>
      </c>
      <c r="B208" s="1" t="s">
        <v>924</v>
      </c>
      <c r="C208" s="1" t="s">
        <v>928</v>
      </c>
      <c r="D208" s="1" t="s">
        <v>1008</v>
      </c>
      <c r="E208" s="1" t="s">
        <v>608</v>
      </c>
      <c r="F208" s="2" t="s">
        <v>81</v>
      </c>
      <c r="G208" s="48">
        <v>0</v>
      </c>
      <c r="H208" s="48">
        <f t="shared" si="3"/>
        <v>0</v>
      </c>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c r="AS208" s="50"/>
      <c r="AT208" s="50"/>
      <c r="AU208" s="50"/>
      <c r="AV208" s="50"/>
      <c r="AW208" s="50"/>
      <c r="AX208" s="50"/>
      <c r="AY208" s="50"/>
      <c r="AZ208" s="50"/>
      <c r="BA208" s="50"/>
      <c r="BB208" s="50"/>
      <c r="BC208" s="50"/>
      <c r="BD208" s="50"/>
      <c r="BE208" s="50"/>
      <c r="BF208" s="50"/>
    </row>
    <row r="209" spans="1:58" s="1" customFormat="1" ht="38.25">
      <c r="A209" s="1" t="s">
        <v>1009</v>
      </c>
      <c r="B209" s="1" t="s">
        <v>924</v>
      </c>
      <c r="C209" s="1" t="s">
        <v>928</v>
      </c>
      <c r="D209" s="1" t="s">
        <v>1010</v>
      </c>
      <c r="E209" s="1" t="s">
        <v>608</v>
      </c>
      <c r="F209" s="2" t="s">
        <v>106</v>
      </c>
      <c r="G209" s="48">
        <v>0</v>
      </c>
      <c r="H209" s="48">
        <f t="shared" si="3"/>
        <v>0</v>
      </c>
      <c r="I209" s="50"/>
      <c r="J209" s="50"/>
      <c r="K209" s="50"/>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0"/>
      <c r="AP209" s="50"/>
      <c r="AQ209" s="50"/>
      <c r="AR209" s="50"/>
      <c r="AS209" s="50"/>
      <c r="AT209" s="50"/>
      <c r="AU209" s="50"/>
      <c r="AV209" s="50"/>
      <c r="AW209" s="50"/>
      <c r="AX209" s="50"/>
      <c r="AY209" s="50"/>
      <c r="AZ209" s="50"/>
      <c r="BA209" s="50"/>
      <c r="BB209" s="50"/>
      <c r="BC209" s="50"/>
      <c r="BD209" s="50"/>
      <c r="BE209" s="50"/>
      <c r="BF209" s="50"/>
    </row>
    <row r="210" spans="1:58" s="1" customFormat="1" ht="38.25">
      <c r="A210" s="1" t="s">
        <v>1011</v>
      </c>
      <c r="B210" s="1" t="s">
        <v>924</v>
      </c>
      <c r="C210" s="1" t="s">
        <v>928</v>
      </c>
      <c r="D210" s="1" t="s">
        <v>1012</v>
      </c>
      <c r="E210" s="1" t="s">
        <v>608</v>
      </c>
      <c r="F210" s="2" t="s">
        <v>67</v>
      </c>
      <c r="G210" s="48">
        <v>0</v>
      </c>
      <c r="H210" s="48">
        <f t="shared" si="3"/>
        <v>0</v>
      </c>
      <c r="I210" s="50"/>
      <c r="J210" s="50"/>
      <c r="K210" s="50"/>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0"/>
      <c r="AP210" s="50"/>
      <c r="AQ210" s="50"/>
      <c r="AR210" s="50"/>
      <c r="AS210" s="50"/>
      <c r="AT210" s="50"/>
      <c r="AU210" s="50"/>
      <c r="AV210" s="50"/>
      <c r="AW210" s="50"/>
      <c r="AX210" s="50"/>
      <c r="AY210" s="50"/>
      <c r="AZ210" s="50"/>
      <c r="BA210" s="50"/>
      <c r="BB210" s="50"/>
      <c r="BC210" s="50"/>
      <c r="BD210" s="50"/>
      <c r="BE210" s="50"/>
      <c r="BF210" s="50"/>
    </row>
    <row r="211" spans="1:58" s="1" customFormat="1" ht="38.25">
      <c r="A211" s="1" t="s">
        <v>1013</v>
      </c>
      <c r="B211" s="1" t="s">
        <v>924</v>
      </c>
      <c r="C211" s="1" t="s">
        <v>928</v>
      </c>
      <c r="D211" s="1" t="s">
        <v>1014</v>
      </c>
      <c r="E211" s="1" t="s">
        <v>608</v>
      </c>
      <c r="F211" s="2" t="s">
        <v>81</v>
      </c>
      <c r="G211" s="48">
        <v>0</v>
      </c>
      <c r="H211" s="48">
        <f t="shared" si="3"/>
        <v>0</v>
      </c>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c r="AV211" s="50"/>
      <c r="AW211" s="50"/>
      <c r="AX211" s="50"/>
      <c r="AY211" s="50"/>
      <c r="AZ211" s="50"/>
      <c r="BA211" s="50"/>
      <c r="BB211" s="50"/>
      <c r="BC211" s="50"/>
      <c r="BD211" s="50"/>
      <c r="BE211" s="50"/>
      <c r="BF211" s="50"/>
    </row>
    <row r="212" spans="1:58" s="1" customFormat="1" ht="38.25">
      <c r="A212" s="1" t="s">
        <v>1015</v>
      </c>
      <c r="B212" s="1" t="s">
        <v>924</v>
      </c>
      <c r="C212" s="1" t="s">
        <v>928</v>
      </c>
      <c r="D212" s="1" t="s">
        <v>1016</v>
      </c>
      <c r="E212" s="1" t="s">
        <v>608</v>
      </c>
      <c r="F212" s="2" t="s">
        <v>120</v>
      </c>
      <c r="G212" s="48">
        <v>0</v>
      </c>
      <c r="H212" s="48">
        <f t="shared" si="3"/>
        <v>0</v>
      </c>
      <c r="I212" s="50"/>
      <c r="J212" s="50"/>
      <c r="K212" s="50"/>
      <c r="L212" s="50"/>
      <c r="M212" s="50"/>
      <c r="N212" s="50"/>
      <c r="O212" s="50"/>
      <c r="P212" s="50"/>
      <c r="Q212" s="50"/>
      <c r="R212" s="50"/>
      <c r="S212" s="50"/>
      <c r="T212" s="50"/>
      <c r="U212" s="50"/>
      <c r="V212" s="50"/>
      <c r="W212" s="50"/>
      <c r="X212" s="50"/>
      <c r="Y212" s="50"/>
      <c r="Z212" s="50"/>
      <c r="AA212" s="50"/>
      <c r="AB212" s="50"/>
      <c r="AC212" s="50"/>
      <c r="AD212" s="50"/>
      <c r="AE212" s="50"/>
      <c r="AF212" s="50"/>
      <c r="AG212" s="50"/>
      <c r="AH212" s="50"/>
      <c r="AI212" s="50"/>
      <c r="AJ212" s="50"/>
      <c r="AK212" s="50"/>
      <c r="AL212" s="50"/>
      <c r="AM212" s="50"/>
      <c r="AN212" s="50"/>
      <c r="AO212" s="50"/>
      <c r="AP212" s="50"/>
      <c r="AQ212" s="50"/>
      <c r="AR212" s="50"/>
      <c r="AS212" s="50"/>
      <c r="AT212" s="50"/>
      <c r="AU212" s="50"/>
      <c r="AV212" s="50"/>
      <c r="AW212" s="50"/>
      <c r="AX212" s="50"/>
      <c r="AY212" s="50"/>
      <c r="AZ212" s="50"/>
      <c r="BA212" s="50"/>
      <c r="BB212" s="50"/>
      <c r="BC212" s="50"/>
      <c r="BD212" s="50"/>
      <c r="BE212" s="50"/>
      <c r="BF212" s="50"/>
    </row>
    <row r="213" spans="1:58" s="1" customFormat="1" ht="38.25">
      <c r="A213" s="1" t="s">
        <v>1017</v>
      </c>
      <c r="B213" s="1" t="s">
        <v>924</v>
      </c>
      <c r="C213" s="1" t="s">
        <v>928</v>
      </c>
      <c r="D213" s="1" t="s">
        <v>1018</v>
      </c>
      <c r="E213" s="1" t="s">
        <v>608</v>
      </c>
      <c r="F213" s="2" t="s">
        <v>67</v>
      </c>
      <c r="G213" s="48">
        <v>0</v>
      </c>
      <c r="H213" s="48">
        <f t="shared" si="3"/>
        <v>0</v>
      </c>
      <c r="I213" s="50"/>
      <c r="J213" s="50"/>
      <c r="K213" s="50"/>
      <c r="L213" s="50"/>
      <c r="M213" s="50"/>
      <c r="N213" s="50"/>
      <c r="O213" s="50"/>
      <c r="P213" s="50"/>
      <c r="Q213" s="50"/>
      <c r="R213" s="50"/>
      <c r="S213" s="50"/>
      <c r="T213" s="50"/>
      <c r="U213" s="50"/>
      <c r="V213" s="50"/>
      <c r="W213" s="50"/>
      <c r="X213" s="50"/>
      <c r="Y213" s="50"/>
      <c r="Z213" s="50"/>
      <c r="AA213" s="50"/>
      <c r="AB213" s="50"/>
      <c r="AC213" s="50"/>
      <c r="AD213" s="50"/>
      <c r="AE213" s="50"/>
      <c r="AF213" s="50"/>
      <c r="AG213" s="50"/>
      <c r="AH213" s="50"/>
      <c r="AI213" s="50"/>
      <c r="AJ213" s="50"/>
      <c r="AK213" s="50"/>
      <c r="AL213" s="50"/>
      <c r="AM213" s="50"/>
      <c r="AN213" s="50"/>
      <c r="AO213" s="50"/>
      <c r="AP213" s="50"/>
      <c r="AQ213" s="50"/>
      <c r="AR213" s="50"/>
      <c r="AS213" s="50"/>
      <c r="AT213" s="50"/>
      <c r="AU213" s="50"/>
      <c r="AV213" s="50"/>
      <c r="AW213" s="50"/>
      <c r="AX213" s="50"/>
      <c r="AY213" s="50"/>
      <c r="AZ213" s="50"/>
      <c r="BA213" s="50"/>
      <c r="BB213" s="50"/>
      <c r="BC213" s="50"/>
      <c r="BD213" s="50"/>
      <c r="BE213" s="50"/>
      <c r="BF213" s="50"/>
    </row>
    <row r="214" spans="1:58" s="1" customFormat="1" ht="38.25">
      <c r="A214" s="1" t="s">
        <v>1019</v>
      </c>
      <c r="B214" s="1" t="s">
        <v>924</v>
      </c>
      <c r="C214" s="1" t="s">
        <v>928</v>
      </c>
      <c r="D214" s="1" t="s">
        <v>1020</v>
      </c>
      <c r="E214" s="1" t="s">
        <v>608</v>
      </c>
      <c r="F214" s="2" t="s">
        <v>67</v>
      </c>
      <c r="G214" s="48">
        <v>0</v>
      </c>
      <c r="H214" s="48">
        <f t="shared" si="3"/>
        <v>0</v>
      </c>
      <c r="I214" s="50"/>
      <c r="J214" s="50"/>
      <c r="K214" s="50"/>
      <c r="L214" s="50"/>
      <c r="M214" s="50"/>
      <c r="N214" s="50"/>
      <c r="O214" s="50"/>
      <c r="P214" s="50"/>
      <c r="Q214" s="50"/>
      <c r="R214" s="50"/>
      <c r="S214" s="50"/>
      <c r="T214" s="50"/>
      <c r="U214" s="50"/>
      <c r="V214" s="50"/>
      <c r="W214" s="50"/>
      <c r="X214" s="50"/>
      <c r="Y214" s="50"/>
      <c r="Z214" s="50"/>
      <c r="AA214" s="50"/>
      <c r="AB214" s="50"/>
      <c r="AC214" s="50"/>
      <c r="AD214" s="50"/>
      <c r="AE214" s="50"/>
      <c r="AF214" s="50"/>
      <c r="AG214" s="50"/>
      <c r="AH214" s="50"/>
      <c r="AI214" s="50"/>
      <c r="AJ214" s="50"/>
      <c r="AK214" s="50"/>
      <c r="AL214" s="50"/>
      <c r="AM214" s="50"/>
      <c r="AN214" s="50"/>
      <c r="AO214" s="50"/>
      <c r="AP214" s="50"/>
      <c r="AQ214" s="50"/>
      <c r="AR214" s="50"/>
      <c r="AS214" s="50"/>
      <c r="AT214" s="50"/>
      <c r="AU214" s="50"/>
      <c r="AV214" s="50"/>
      <c r="AW214" s="50"/>
      <c r="AX214" s="50"/>
      <c r="AY214" s="50"/>
      <c r="AZ214" s="50"/>
      <c r="BA214" s="50"/>
      <c r="BB214" s="50"/>
      <c r="BC214" s="50"/>
      <c r="BD214" s="50"/>
      <c r="BE214" s="50"/>
      <c r="BF214" s="50"/>
    </row>
    <row r="215" spans="1:58" s="1" customFormat="1" ht="38.25">
      <c r="A215" s="1" t="s">
        <v>1021</v>
      </c>
      <c r="B215" s="1" t="s">
        <v>924</v>
      </c>
      <c r="C215" s="1" t="s">
        <v>928</v>
      </c>
      <c r="D215" s="1" t="s">
        <v>1022</v>
      </c>
      <c r="E215" s="1" t="s">
        <v>608</v>
      </c>
      <c r="F215" s="2" t="s">
        <v>120</v>
      </c>
      <c r="G215" s="48">
        <v>0</v>
      </c>
      <c r="H215" s="48">
        <f t="shared" si="3"/>
        <v>0</v>
      </c>
      <c r="I215" s="50"/>
      <c r="J215" s="50"/>
      <c r="K215" s="50"/>
      <c r="L215" s="50"/>
      <c r="M215" s="50"/>
      <c r="N215" s="50"/>
      <c r="O215" s="50"/>
      <c r="P215" s="50"/>
      <c r="Q215" s="50"/>
      <c r="R215" s="50"/>
      <c r="S215" s="50"/>
      <c r="T215" s="50"/>
      <c r="U215" s="50"/>
      <c r="V215" s="50"/>
      <c r="W215" s="50"/>
      <c r="X215" s="50"/>
      <c r="Y215" s="50"/>
      <c r="Z215" s="50"/>
      <c r="AA215" s="50"/>
      <c r="AB215" s="50"/>
      <c r="AC215" s="50"/>
      <c r="AD215" s="50"/>
      <c r="AE215" s="50"/>
      <c r="AF215" s="50"/>
      <c r="AG215" s="50"/>
      <c r="AH215" s="50"/>
      <c r="AI215" s="50"/>
      <c r="AJ215" s="50"/>
      <c r="AK215" s="50"/>
      <c r="AL215" s="50"/>
      <c r="AM215" s="50"/>
      <c r="AN215" s="50"/>
      <c r="AO215" s="50"/>
      <c r="AP215" s="50"/>
      <c r="AQ215" s="50"/>
      <c r="AR215" s="50"/>
      <c r="AS215" s="50"/>
      <c r="AT215" s="50"/>
      <c r="AU215" s="50"/>
      <c r="AV215" s="50"/>
      <c r="AW215" s="50"/>
      <c r="AX215" s="50"/>
      <c r="AY215" s="50"/>
      <c r="AZ215" s="50"/>
      <c r="BA215" s="50"/>
      <c r="BB215" s="50"/>
      <c r="BC215" s="50"/>
      <c r="BD215" s="50"/>
      <c r="BE215" s="50"/>
      <c r="BF215" s="50"/>
    </row>
    <row r="216" spans="1:58" s="1" customFormat="1" ht="38.25">
      <c r="A216" s="1" t="s">
        <v>1023</v>
      </c>
      <c r="B216" s="1" t="s">
        <v>924</v>
      </c>
      <c r="C216" s="1" t="s">
        <v>928</v>
      </c>
      <c r="D216" s="1" t="s">
        <v>1024</v>
      </c>
      <c r="E216" s="1" t="s">
        <v>608</v>
      </c>
      <c r="F216" s="2" t="s">
        <v>38</v>
      </c>
      <c r="G216" s="48">
        <v>0</v>
      </c>
      <c r="H216" s="48">
        <f t="shared" si="3"/>
        <v>0</v>
      </c>
      <c r="I216" s="50"/>
      <c r="J216" s="50"/>
      <c r="K216" s="50"/>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0"/>
      <c r="AP216" s="50"/>
      <c r="AQ216" s="50"/>
      <c r="AR216" s="50"/>
      <c r="AS216" s="50"/>
      <c r="AT216" s="50"/>
      <c r="AU216" s="50"/>
      <c r="AV216" s="50"/>
      <c r="AW216" s="50"/>
      <c r="AX216" s="50"/>
      <c r="AY216" s="50"/>
      <c r="AZ216" s="50"/>
      <c r="BA216" s="50"/>
      <c r="BB216" s="50"/>
      <c r="BC216" s="50"/>
      <c r="BD216" s="50"/>
      <c r="BE216" s="50"/>
      <c r="BF216" s="50"/>
    </row>
    <row r="217" spans="1:58" s="1" customFormat="1" ht="38.25">
      <c r="A217" s="1" t="s">
        <v>1025</v>
      </c>
      <c r="B217" s="1" t="s">
        <v>924</v>
      </c>
      <c r="C217" s="1" t="s">
        <v>928</v>
      </c>
      <c r="D217" s="1" t="s">
        <v>1026</v>
      </c>
      <c r="E217" s="1" t="s">
        <v>608</v>
      </c>
      <c r="F217" s="2" t="s">
        <v>94</v>
      </c>
      <c r="G217" s="48">
        <v>0</v>
      </c>
      <c r="H217" s="48">
        <f t="shared" si="3"/>
        <v>0</v>
      </c>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c r="AS217" s="50"/>
      <c r="AT217" s="50"/>
      <c r="AU217" s="50"/>
      <c r="AV217" s="50"/>
      <c r="AW217" s="50"/>
      <c r="AX217" s="50"/>
      <c r="AY217" s="50"/>
      <c r="AZ217" s="50"/>
      <c r="BA217" s="50"/>
      <c r="BB217" s="50"/>
      <c r="BC217" s="50"/>
      <c r="BD217" s="50"/>
      <c r="BE217" s="50"/>
      <c r="BF217" s="50"/>
    </row>
    <row r="218" spans="1:58" s="1" customFormat="1" ht="38.25">
      <c r="A218" s="1" t="s">
        <v>1027</v>
      </c>
      <c r="B218" s="1" t="s">
        <v>924</v>
      </c>
      <c r="C218" s="1" t="s">
        <v>928</v>
      </c>
      <c r="D218" s="1" t="s">
        <v>1028</v>
      </c>
      <c r="E218" s="1" t="s">
        <v>608</v>
      </c>
      <c r="F218" s="2" t="s">
        <v>120</v>
      </c>
      <c r="G218" s="48">
        <v>0</v>
      </c>
      <c r="H218" s="48">
        <f t="shared" si="3"/>
        <v>0</v>
      </c>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c r="AS218" s="50"/>
      <c r="AT218" s="50"/>
      <c r="AU218" s="50"/>
      <c r="AV218" s="50"/>
      <c r="AW218" s="50"/>
      <c r="AX218" s="50"/>
      <c r="AY218" s="50"/>
      <c r="AZ218" s="50"/>
      <c r="BA218" s="50"/>
      <c r="BB218" s="50"/>
      <c r="BC218" s="50"/>
      <c r="BD218" s="50"/>
      <c r="BE218" s="50"/>
      <c r="BF218" s="50"/>
    </row>
    <row r="219" spans="1:58" s="1" customFormat="1" ht="38.25">
      <c r="A219" s="1" t="s">
        <v>1029</v>
      </c>
      <c r="B219" s="1" t="s">
        <v>924</v>
      </c>
      <c r="C219" s="1" t="s">
        <v>928</v>
      </c>
      <c r="D219" s="1" t="s">
        <v>1030</v>
      </c>
      <c r="E219" s="1" t="s">
        <v>608</v>
      </c>
      <c r="F219" s="2" t="s">
        <v>67</v>
      </c>
      <c r="G219" s="48">
        <v>0</v>
      </c>
      <c r="H219" s="48">
        <f t="shared" si="3"/>
        <v>0</v>
      </c>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c r="AS219" s="50"/>
      <c r="AT219" s="50"/>
      <c r="AU219" s="50"/>
      <c r="AV219" s="50"/>
      <c r="AW219" s="50"/>
      <c r="AX219" s="50"/>
      <c r="AY219" s="50"/>
      <c r="AZ219" s="50"/>
      <c r="BA219" s="50"/>
      <c r="BB219" s="50"/>
      <c r="BC219" s="50"/>
      <c r="BD219" s="50"/>
      <c r="BE219" s="50"/>
      <c r="BF219" s="50"/>
    </row>
    <row r="220" spans="1:58" s="1" customFormat="1" ht="38.25">
      <c r="A220" s="1" t="s">
        <v>1031</v>
      </c>
      <c r="B220" s="1" t="s">
        <v>924</v>
      </c>
      <c r="C220" s="1" t="s">
        <v>928</v>
      </c>
      <c r="D220" s="1" t="s">
        <v>1032</v>
      </c>
      <c r="E220" s="1" t="s">
        <v>608</v>
      </c>
      <c r="F220" s="2" t="s">
        <v>67</v>
      </c>
      <c r="G220" s="48">
        <v>0</v>
      </c>
      <c r="H220" s="48">
        <f t="shared" si="3"/>
        <v>0</v>
      </c>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c r="AS220" s="50"/>
      <c r="AT220" s="50"/>
      <c r="AU220" s="50"/>
      <c r="AV220" s="50"/>
      <c r="AW220" s="50"/>
      <c r="AX220" s="50"/>
      <c r="AY220" s="50"/>
      <c r="AZ220" s="50"/>
      <c r="BA220" s="50"/>
      <c r="BB220" s="50"/>
      <c r="BC220" s="50"/>
      <c r="BD220" s="50"/>
      <c r="BE220" s="50"/>
      <c r="BF220" s="50"/>
    </row>
    <row r="221" spans="1:58" s="1" customFormat="1" ht="38.25">
      <c r="A221" s="1" t="s">
        <v>1034</v>
      </c>
      <c r="B221" s="1" t="s">
        <v>924</v>
      </c>
      <c r="C221" s="1" t="s">
        <v>928</v>
      </c>
      <c r="D221" s="1" t="s">
        <v>1035</v>
      </c>
      <c r="E221" s="1" t="s">
        <v>608</v>
      </c>
      <c r="F221" s="2" t="s">
        <v>120</v>
      </c>
      <c r="G221" s="48">
        <v>0</v>
      </c>
      <c r="H221" s="48">
        <f t="shared" si="3"/>
        <v>0</v>
      </c>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c r="AK221" s="50"/>
      <c r="AL221" s="50"/>
      <c r="AM221" s="50"/>
      <c r="AN221" s="50"/>
      <c r="AO221" s="50"/>
      <c r="AP221" s="50"/>
      <c r="AQ221" s="50"/>
      <c r="AR221" s="50"/>
      <c r="AS221" s="50"/>
      <c r="AT221" s="50"/>
      <c r="AU221" s="50"/>
      <c r="AV221" s="50"/>
      <c r="AW221" s="50"/>
      <c r="AX221" s="50"/>
      <c r="AY221" s="50"/>
      <c r="AZ221" s="50"/>
      <c r="BA221" s="50"/>
      <c r="BB221" s="50"/>
      <c r="BC221" s="50"/>
      <c r="BD221" s="50"/>
      <c r="BE221" s="50"/>
      <c r="BF221" s="50"/>
    </row>
    <row r="222" spans="1:58" s="1" customFormat="1" ht="38.25">
      <c r="A222" s="1" t="s">
        <v>1036</v>
      </c>
      <c r="B222" s="1" t="s">
        <v>924</v>
      </c>
      <c r="C222" s="1" t="s">
        <v>928</v>
      </c>
      <c r="D222" s="1" t="s">
        <v>1037</v>
      </c>
      <c r="E222" s="1" t="s">
        <v>608</v>
      </c>
      <c r="F222" s="2" t="s">
        <v>120</v>
      </c>
      <c r="G222" s="48">
        <v>0</v>
      </c>
      <c r="H222" s="48">
        <f t="shared" si="3"/>
        <v>0</v>
      </c>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50"/>
      <c r="AL222" s="50"/>
      <c r="AM222" s="50"/>
      <c r="AN222" s="50"/>
      <c r="AO222" s="50"/>
      <c r="AP222" s="50"/>
      <c r="AQ222" s="50"/>
      <c r="AR222" s="50"/>
      <c r="AS222" s="50"/>
      <c r="AT222" s="50"/>
      <c r="AU222" s="50"/>
      <c r="AV222" s="50"/>
      <c r="AW222" s="50"/>
      <c r="AX222" s="50"/>
      <c r="AY222" s="50"/>
      <c r="AZ222" s="50"/>
      <c r="BA222" s="50"/>
      <c r="BB222" s="50"/>
      <c r="BC222" s="50"/>
      <c r="BD222" s="50"/>
      <c r="BE222" s="50"/>
      <c r="BF222" s="50"/>
    </row>
    <row r="223" spans="1:58" s="1" customFormat="1" ht="38.25">
      <c r="A223" s="1" t="s">
        <v>1038</v>
      </c>
      <c r="B223" s="1" t="s">
        <v>924</v>
      </c>
      <c r="C223" s="1" t="s">
        <v>928</v>
      </c>
      <c r="D223" s="1" t="s">
        <v>1039</v>
      </c>
      <c r="E223" s="1" t="s">
        <v>608</v>
      </c>
      <c r="F223" s="2" t="s">
        <v>67</v>
      </c>
      <c r="G223" s="48">
        <v>0</v>
      </c>
      <c r="H223" s="48">
        <f t="shared" si="3"/>
        <v>0</v>
      </c>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c r="AK223" s="50"/>
      <c r="AL223" s="50"/>
      <c r="AM223" s="50"/>
      <c r="AN223" s="50"/>
      <c r="AO223" s="50"/>
      <c r="AP223" s="50"/>
      <c r="AQ223" s="50"/>
      <c r="AR223" s="50"/>
      <c r="AS223" s="50"/>
      <c r="AT223" s="50"/>
      <c r="AU223" s="50"/>
      <c r="AV223" s="50"/>
      <c r="AW223" s="50"/>
      <c r="AX223" s="50"/>
      <c r="AY223" s="50"/>
      <c r="AZ223" s="50"/>
      <c r="BA223" s="50"/>
      <c r="BB223" s="50"/>
      <c r="BC223" s="50"/>
      <c r="BD223" s="50"/>
      <c r="BE223" s="50"/>
      <c r="BF223" s="50"/>
    </row>
    <row r="224" spans="1:58" s="1" customFormat="1" ht="38.25">
      <c r="A224" s="1" t="s">
        <v>1040</v>
      </c>
      <c r="B224" s="1" t="s">
        <v>924</v>
      </c>
      <c r="C224" s="1" t="s">
        <v>928</v>
      </c>
      <c r="D224" s="1" t="s">
        <v>1041</v>
      </c>
      <c r="E224" s="1" t="s">
        <v>608</v>
      </c>
      <c r="F224" s="2" t="s">
        <v>81</v>
      </c>
      <c r="G224" s="48">
        <v>0</v>
      </c>
      <c r="H224" s="48">
        <f t="shared" si="3"/>
        <v>0</v>
      </c>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c r="AN224" s="50"/>
      <c r="AO224" s="50"/>
      <c r="AP224" s="50"/>
      <c r="AQ224" s="50"/>
      <c r="AR224" s="50"/>
      <c r="AS224" s="50"/>
      <c r="AT224" s="50"/>
      <c r="AU224" s="50"/>
      <c r="AV224" s="50"/>
      <c r="AW224" s="50"/>
      <c r="AX224" s="50"/>
      <c r="AY224" s="50"/>
      <c r="AZ224" s="50"/>
      <c r="BA224" s="50"/>
      <c r="BB224" s="50"/>
      <c r="BC224" s="50"/>
      <c r="BD224" s="50"/>
      <c r="BE224" s="50"/>
      <c r="BF224" s="50"/>
    </row>
    <row r="225" spans="1:58" s="1" customFormat="1" ht="38.25">
      <c r="A225" s="1" t="s">
        <v>1042</v>
      </c>
      <c r="B225" s="1" t="s">
        <v>924</v>
      </c>
      <c r="C225" s="1" t="s">
        <v>928</v>
      </c>
      <c r="D225" s="1" t="s">
        <v>1043</v>
      </c>
      <c r="E225" s="1" t="s">
        <v>608</v>
      </c>
      <c r="F225" s="2" t="s">
        <v>134</v>
      </c>
      <c r="G225" s="48">
        <v>0</v>
      </c>
      <c r="H225" s="48">
        <f t="shared" si="3"/>
        <v>0</v>
      </c>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c r="AR225" s="50"/>
      <c r="AS225" s="50"/>
      <c r="AT225" s="50"/>
      <c r="AU225" s="50"/>
      <c r="AV225" s="50"/>
      <c r="AW225" s="50"/>
      <c r="AX225" s="50"/>
      <c r="AY225" s="50"/>
      <c r="AZ225" s="50"/>
      <c r="BA225" s="50"/>
      <c r="BB225" s="50"/>
      <c r="BC225" s="50"/>
      <c r="BD225" s="50"/>
      <c r="BE225" s="50"/>
      <c r="BF225" s="50"/>
    </row>
    <row r="226" spans="1:58" s="1" customFormat="1" ht="63.75">
      <c r="A226" s="1" t="s">
        <v>1044</v>
      </c>
      <c r="B226" s="1" t="s">
        <v>924</v>
      </c>
      <c r="C226" s="1" t="s">
        <v>1045</v>
      </c>
      <c r="D226" s="1" t="s">
        <v>1046</v>
      </c>
      <c r="E226" s="1" t="s">
        <v>13</v>
      </c>
      <c r="F226" s="2" t="s">
        <v>8</v>
      </c>
      <c r="G226" s="48">
        <v>0</v>
      </c>
      <c r="H226" s="48">
        <f t="shared" si="3"/>
        <v>0</v>
      </c>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c r="AR226" s="50"/>
      <c r="AS226" s="50"/>
      <c r="AT226" s="50"/>
      <c r="AU226" s="50"/>
      <c r="AV226" s="50"/>
      <c r="AW226" s="50"/>
      <c r="AX226" s="50"/>
      <c r="AY226" s="50"/>
      <c r="AZ226" s="50"/>
      <c r="BA226" s="50"/>
      <c r="BB226" s="50"/>
      <c r="BC226" s="50"/>
      <c r="BD226" s="50"/>
      <c r="BE226" s="50"/>
      <c r="BF226" s="50"/>
    </row>
    <row r="227" spans="1:58" s="1" customFormat="1" ht="38.25">
      <c r="A227" s="1" t="s">
        <v>1047</v>
      </c>
      <c r="B227" s="1" t="s">
        <v>924</v>
      </c>
      <c r="C227" s="1" t="s">
        <v>1045</v>
      </c>
      <c r="D227" s="1" t="s">
        <v>1048</v>
      </c>
      <c r="E227" s="1" t="s">
        <v>585</v>
      </c>
      <c r="F227" s="2" t="s">
        <v>67</v>
      </c>
      <c r="G227" s="48">
        <v>3.15</v>
      </c>
      <c r="H227" s="48">
        <f t="shared" si="3"/>
        <v>63</v>
      </c>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c r="AV227" s="50"/>
      <c r="AW227" s="50"/>
      <c r="AX227" s="50"/>
      <c r="AY227" s="50"/>
      <c r="AZ227" s="50"/>
      <c r="BA227" s="50"/>
      <c r="BB227" s="50"/>
      <c r="BC227" s="50"/>
      <c r="BD227" s="50"/>
      <c r="BE227" s="50"/>
      <c r="BF227" s="50"/>
    </row>
    <row r="228" spans="1:58" s="1" customFormat="1" ht="38.25">
      <c r="A228" s="1" t="s">
        <v>1049</v>
      </c>
      <c r="B228" s="1" t="s">
        <v>924</v>
      </c>
      <c r="C228" s="1" t="s">
        <v>1045</v>
      </c>
      <c r="D228" s="1" t="s">
        <v>1050</v>
      </c>
      <c r="E228" s="1" t="s">
        <v>585</v>
      </c>
      <c r="F228" s="2" t="s">
        <v>67</v>
      </c>
      <c r="G228" s="48">
        <v>4.2</v>
      </c>
      <c r="H228" s="48">
        <f t="shared" si="3"/>
        <v>84</v>
      </c>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c r="AS228" s="50"/>
      <c r="AT228" s="50"/>
      <c r="AU228" s="50"/>
      <c r="AV228" s="50"/>
      <c r="AW228" s="50"/>
      <c r="AX228" s="50"/>
      <c r="AY228" s="50"/>
      <c r="AZ228" s="50"/>
      <c r="BA228" s="50"/>
      <c r="BB228" s="50"/>
      <c r="BC228" s="50"/>
      <c r="BD228" s="50"/>
      <c r="BE228" s="50"/>
      <c r="BF228" s="50"/>
    </row>
    <row r="229" spans="1:58" s="1" customFormat="1" ht="51">
      <c r="A229" s="1" t="s">
        <v>1051</v>
      </c>
      <c r="B229" s="1" t="s">
        <v>924</v>
      </c>
      <c r="C229" s="1" t="s">
        <v>928</v>
      </c>
      <c r="D229" s="1" t="s">
        <v>1052</v>
      </c>
      <c r="E229" s="1" t="s">
        <v>13</v>
      </c>
      <c r="F229" s="2" t="s">
        <v>8</v>
      </c>
      <c r="G229" s="48">
        <v>0</v>
      </c>
      <c r="H229" s="48">
        <f t="shared" si="3"/>
        <v>0</v>
      </c>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c r="AR229" s="50"/>
      <c r="AS229" s="50"/>
      <c r="AT229" s="50"/>
      <c r="AU229" s="50"/>
      <c r="AV229" s="50"/>
      <c r="AW229" s="50"/>
      <c r="AX229" s="50"/>
      <c r="AY229" s="50"/>
      <c r="AZ229" s="50"/>
      <c r="BA229" s="50"/>
      <c r="BB229" s="50"/>
      <c r="BC229" s="50"/>
      <c r="BD229" s="50"/>
      <c r="BE229" s="50"/>
      <c r="BF229" s="50"/>
    </row>
    <row r="230" spans="1:58" s="1" customFormat="1" ht="38.25">
      <c r="A230" s="1" t="s">
        <v>1053</v>
      </c>
      <c r="B230" s="1" t="s">
        <v>924</v>
      </c>
      <c r="C230" s="1" t="s">
        <v>928</v>
      </c>
      <c r="D230" s="1" t="s">
        <v>1054</v>
      </c>
      <c r="E230" s="1" t="s">
        <v>608</v>
      </c>
      <c r="F230" s="2" t="s">
        <v>706</v>
      </c>
      <c r="G230" s="48">
        <v>0.84</v>
      </c>
      <c r="H230" s="48">
        <f t="shared" si="3"/>
        <v>420</v>
      </c>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c r="AR230" s="50"/>
      <c r="AS230" s="50"/>
      <c r="AT230" s="50"/>
      <c r="AU230" s="50"/>
      <c r="AV230" s="50"/>
      <c r="AW230" s="50"/>
      <c r="AX230" s="50"/>
      <c r="AY230" s="50"/>
      <c r="AZ230" s="50"/>
      <c r="BA230" s="50"/>
      <c r="BB230" s="50"/>
      <c r="BC230" s="50"/>
      <c r="BD230" s="50"/>
      <c r="BE230" s="50"/>
      <c r="BF230" s="50"/>
    </row>
    <row r="231" spans="1:58" s="1" customFormat="1" ht="38.25">
      <c r="A231" s="1" t="s">
        <v>1055</v>
      </c>
      <c r="B231" s="1" t="s">
        <v>924</v>
      </c>
      <c r="C231" s="1" t="s">
        <v>928</v>
      </c>
      <c r="D231" s="1" t="s">
        <v>1056</v>
      </c>
      <c r="E231" s="1" t="s">
        <v>608</v>
      </c>
      <c r="F231" s="2" t="s">
        <v>706</v>
      </c>
      <c r="G231" s="48">
        <v>0.84</v>
      </c>
      <c r="H231" s="48">
        <f t="shared" si="3"/>
        <v>420</v>
      </c>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c r="AR231" s="50"/>
      <c r="AS231" s="50"/>
      <c r="AT231" s="50"/>
      <c r="AU231" s="50"/>
      <c r="AV231" s="50"/>
      <c r="AW231" s="50"/>
      <c r="AX231" s="50"/>
      <c r="AY231" s="50"/>
      <c r="AZ231" s="50"/>
      <c r="BA231" s="50"/>
      <c r="BB231" s="50"/>
      <c r="BC231" s="50"/>
      <c r="BD231" s="50"/>
      <c r="BE231" s="50"/>
      <c r="BF231" s="50"/>
    </row>
    <row r="232" spans="1:58" s="1" customFormat="1" ht="127.5">
      <c r="A232" s="1" t="s">
        <v>1057</v>
      </c>
      <c r="B232" s="1" t="s">
        <v>924</v>
      </c>
      <c r="C232" s="1" t="s">
        <v>1058</v>
      </c>
      <c r="D232" s="1" t="s">
        <v>1059</v>
      </c>
      <c r="E232" s="1" t="s">
        <v>585</v>
      </c>
      <c r="F232" s="2" t="s">
        <v>94</v>
      </c>
      <c r="G232" s="48">
        <v>140</v>
      </c>
      <c r="H232" s="48">
        <f t="shared" si="3"/>
        <v>4200</v>
      </c>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c r="AR232" s="50"/>
      <c r="AS232" s="50"/>
      <c r="AT232" s="50"/>
      <c r="AU232" s="50"/>
      <c r="AV232" s="50"/>
      <c r="AW232" s="50"/>
      <c r="AX232" s="50"/>
      <c r="AY232" s="50"/>
      <c r="AZ232" s="50"/>
      <c r="BA232" s="50"/>
      <c r="BB232" s="50"/>
      <c r="BC232" s="50"/>
      <c r="BD232" s="50"/>
      <c r="BE232" s="50"/>
      <c r="BF232" s="50"/>
    </row>
    <row r="233" spans="1:58" s="1" customFormat="1" ht="63.75">
      <c r="A233" s="1" t="s">
        <v>1060</v>
      </c>
      <c r="B233" s="1" t="s">
        <v>924</v>
      </c>
      <c r="C233" s="1" t="s">
        <v>577</v>
      </c>
      <c r="D233" s="1" t="s">
        <v>1061</v>
      </c>
      <c r="E233" s="1" t="s">
        <v>13</v>
      </c>
      <c r="F233" s="2" t="s">
        <v>8</v>
      </c>
      <c r="G233" s="48">
        <v>1260</v>
      </c>
      <c r="H233" s="48">
        <f t="shared" si="3"/>
        <v>1260</v>
      </c>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c r="AR233" s="50"/>
      <c r="AS233" s="50"/>
      <c r="AT233" s="50"/>
      <c r="AU233" s="50"/>
      <c r="AV233" s="50"/>
      <c r="AW233" s="50"/>
      <c r="AX233" s="50"/>
      <c r="AY233" s="50"/>
      <c r="AZ233" s="50"/>
      <c r="BA233" s="50"/>
      <c r="BB233" s="50"/>
      <c r="BC233" s="50"/>
      <c r="BD233" s="50"/>
      <c r="BE233" s="50"/>
      <c r="BF233" s="50"/>
    </row>
    <row r="234" spans="1:58" s="1" customFormat="1" ht="38.25">
      <c r="A234" s="1" t="s">
        <v>1062</v>
      </c>
      <c r="B234" s="1" t="s">
        <v>924</v>
      </c>
      <c r="C234" s="1" t="s">
        <v>577</v>
      </c>
      <c r="D234" s="1" t="s">
        <v>979</v>
      </c>
      <c r="E234" s="1" t="s">
        <v>13</v>
      </c>
      <c r="F234" s="2" t="s">
        <v>8</v>
      </c>
      <c r="G234" s="48">
        <v>945</v>
      </c>
      <c r="H234" s="48">
        <f t="shared" si="3"/>
        <v>945</v>
      </c>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c r="AR234" s="50"/>
      <c r="AS234" s="50"/>
      <c r="AT234" s="50"/>
      <c r="AU234" s="50"/>
      <c r="AV234" s="50"/>
      <c r="AW234" s="50"/>
      <c r="AX234" s="50"/>
      <c r="AY234" s="50"/>
      <c r="AZ234" s="50"/>
      <c r="BA234" s="50"/>
      <c r="BB234" s="50"/>
      <c r="BC234" s="50"/>
      <c r="BD234" s="50"/>
      <c r="BE234" s="50"/>
      <c r="BF234" s="50"/>
    </row>
    <row r="235" spans="1:58" s="1" customFormat="1" ht="38.25">
      <c r="A235" s="1" t="s">
        <v>1063</v>
      </c>
      <c r="B235" s="1" t="s">
        <v>924</v>
      </c>
      <c r="C235" s="1" t="s">
        <v>577</v>
      </c>
      <c r="D235" s="1" t="s">
        <v>1064</v>
      </c>
      <c r="E235" s="1" t="s">
        <v>13</v>
      </c>
      <c r="F235" s="2" t="s">
        <v>8</v>
      </c>
      <c r="G235" s="48">
        <v>1029</v>
      </c>
      <c r="H235" s="48">
        <f t="shared" si="3"/>
        <v>1029</v>
      </c>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c r="AR235" s="50"/>
      <c r="AS235" s="50"/>
      <c r="AT235" s="50"/>
      <c r="AU235" s="50"/>
      <c r="AV235" s="50"/>
      <c r="AW235" s="50"/>
      <c r="AX235" s="50"/>
      <c r="AY235" s="50"/>
      <c r="AZ235" s="50"/>
      <c r="BA235" s="50"/>
      <c r="BB235" s="50"/>
      <c r="BC235" s="50"/>
      <c r="BD235" s="50"/>
      <c r="BE235" s="50"/>
      <c r="BF235" s="50"/>
    </row>
    <row r="236" spans="1:58" s="1" customFormat="1" ht="38.25">
      <c r="A236" s="1" t="s">
        <v>1065</v>
      </c>
      <c r="B236" s="1" t="s">
        <v>924</v>
      </c>
      <c r="C236" s="1" t="s">
        <v>577</v>
      </c>
      <c r="D236" s="1" t="s">
        <v>983</v>
      </c>
      <c r="E236" s="1" t="s">
        <v>13</v>
      </c>
      <c r="F236" s="2" t="s">
        <v>8</v>
      </c>
      <c r="G236" s="48">
        <v>2100</v>
      </c>
      <c r="H236" s="48">
        <f t="shared" si="3"/>
        <v>2100</v>
      </c>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c r="AR236" s="50"/>
      <c r="AS236" s="50"/>
      <c r="AT236" s="50"/>
      <c r="AU236" s="50"/>
      <c r="AV236" s="50"/>
      <c r="AW236" s="50"/>
      <c r="AX236" s="50"/>
      <c r="AY236" s="50"/>
      <c r="AZ236" s="50"/>
      <c r="BA236" s="50"/>
      <c r="BB236" s="50"/>
      <c r="BC236" s="50"/>
      <c r="BD236" s="50"/>
      <c r="BE236" s="50"/>
      <c r="BF236" s="50"/>
    </row>
    <row r="237" spans="1:58" s="1" customFormat="1" ht="38.25">
      <c r="A237" s="1" t="s">
        <v>1066</v>
      </c>
      <c r="B237" s="1" t="s">
        <v>924</v>
      </c>
      <c r="C237" s="1" t="s">
        <v>577</v>
      </c>
      <c r="D237" s="1" t="s">
        <v>1067</v>
      </c>
      <c r="E237" s="1" t="s">
        <v>13</v>
      </c>
      <c r="F237" s="2" t="s">
        <v>8</v>
      </c>
      <c r="G237" s="48">
        <v>945</v>
      </c>
      <c r="H237" s="48">
        <f t="shared" si="3"/>
        <v>945</v>
      </c>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c r="AR237" s="50"/>
      <c r="AS237" s="50"/>
      <c r="AT237" s="50"/>
      <c r="AU237" s="50"/>
      <c r="AV237" s="50"/>
      <c r="AW237" s="50"/>
      <c r="AX237" s="50"/>
      <c r="AY237" s="50"/>
      <c r="AZ237" s="50"/>
      <c r="BA237" s="50"/>
      <c r="BB237" s="50"/>
      <c r="BC237" s="50"/>
      <c r="BD237" s="50"/>
      <c r="BE237" s="50"/>
      <c r="BF237" s="50"/>
    </row>
    <row r="238" spans="1:58" s="1" customFormat="1" ht="89.25">
      <c r="A238" s="1" t="s">
        <v>1068</v>
      </c>
      <c r="B238" s="1" t="s">
        <v>924</v>
      </c>
      <c r="C238" s="1" t="s">
        <v>1069</v>
      </c>
      <c r="D238" s="1" t="s">
        <v>1070</v>
      </c>
      <c r="E238" s="1" t="s">
        <v>13</v>
      </c>
      <c r="F238" s="2" t="s">
        <v>8</v>
      </c>
      <c r="G238" s="48">
        <v>0</v>
      </c>
      <c r="H238" s="48">
        <f t="shared" si="3"/>
        <v>0</v>
      </c>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c r="AR238" s="50"/>
      <c r="AS238" s="50"/>
      <c r="AT238" s="50"/>
      <c r="AU238" s="50"/>
      <c r="AV238" s="50"/>
      <c r="AW238" s="50"/>
      <c r="AX238" s="50"/>
      <c r="AY238" s="50"/>
      <c r="AZ238" s="50"/>
      <c r="BA238" s="50"/>
      <c r="BB238" s="50"/>
      <c r="BC238" s="50"/>
      <c r="BD238" s="50"/>
      <c r="BE238" s="50"/>
      <c r="BF238" s="50"/>
    </row>
    <row r="239" spans="1:58" s="1" customFormat="1" ht="38.25">
      <c r="A239" s="1" t="s">
        <v>1071</v>
      </c>
      <c r="B239" s="1" t="s">
        <v>924</v>
      </c>
      <c r="C239" s="1" t="s">
        <v>1072</v>
      </c>
      <c r="D239" s="1" t="s">
        <v>1073</v>
      </c>
      <c r="E239" s="1" t="s">
        <v>585</v>
      </c>
      <c r="F239" s="2" t="s">
        <v>1074</v>
      </c>
      <c r="G239" s="48">
        <v>0.14599999999999999</v>
      </c>
      <c r="H239" s="48">
        <f t="shared" si="3"/>
        <v>105.11999999999999</v>
      </c>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c r="AS239" s="50"/>
      <c r="AT239" s="50"/>
      <c r="AU239" s="50"/>
      <c r="AV239" s="50"/>
      <c r="AW239" s="50"/>
      <c r="AX239" s="50"/>
      <c r="AY239" s="50"/>
      <c r="AZ239" s="50"/>
      <c r="BA239" s="50"/>
      <c r="BB239" s="50"/>
      <c r="BC239" s="50"/>
      <c r="BD239" s="50"/>
      <c r="BE239" s="50"/>
      <c r="BF239" s="50"/>
    </row>
    <row r="240" spans="1:58" s="1" customFormat="1" ht="38.25">
      <c r="A240" s="1" t="s">
        <v>1075</v>
      </c>
      <c r="B240" s="1" t="s">
        <v>924</v>
      </c>
      <c r="C240" s="1" t="s">
        <v>1072</v>
      </c>
      <c r="D240" s="1" t="s">
        <v>1076</v>
      </c>
      <c r="E240" s="1" t="s">
        <v>585</v>
      </c>
      <c r="F240" s="2" t="s">
        <v>1077</v>
      </c>
      <c r="G240" s="48">
        <v>3</v>
      </c>
      <c r="H240" s="48">
        <f t="shared" si="3"/>
        <v>780</v>
      </c>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c r="AV240" s="50"/>
      <c r="AW240" s="50"/>
      <c r="AX240" s="50"/>
      <c r="AY240" s="50"/>
      <c r="AZ240" s="50"/>
      <c r="BA240" s="50"/>
      <c r="BB240" s="50"/>
      <c r="BC240" s="50"/>
      <c r="BD240" s="50"/>
      <c r="BE240" s="50"/>
      <c r="BF240" s="50"/>
    </row>
    <row r="241" spans="1:58" s="1" customFormat="1" ht="38.25">
      <c r="A241" s="1" t="s">
        <v>1078</v>
      </c>
      <c r="B241" s="1" t="s">
        <v>924</v>
      </c>
      <c r="C241" s="1" t="s">
        <v>1072</v>
      </c>
      <c r="D241" s="1" t="s">
        <v>1079</v>
      </c>
      <c r="E241" s="1" t="s">
        <v>585</v>
      </c>
      <c r="F241" s="2" t="s">
        <v>1080</v>
      </c>
      <c r="G241" s="48">
        <v>0.97499999999999998</v>
      </c>
      <c r="H241" s="48">
        <f t="shared" si="3"/>
        <v>273</v>
      </c>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c r="AS241" s="50"/>
      <c r="AT241" s="50"/>
      <c r="AU241" s="50"/>
      <c r="AV241" s="50"/>
      <c r="AW241" s="50"/>
      <c r="AX241" s="50"/>
      <c r="AY241" s="50"/>
      <c r="AZ241" s="50"/>
      <c r="BA241" s="50"/>
      <c r="BB241" s="50"/>
      <c r="BC241" s="50"/>
      <c r="BD241" s="50"/>
      <c r="BE241" s="50"/>
      <c r="BF241" s="50"/>
    </row>
    <row r="242" spans="1:58" s="1" customFormat="1" ht="38.25">
      <c r="A242" s="1" t="s">
        <v>1081</v>
      </c>
      <c r="B242" s="1" t="s">
        <v>924</v>
      </c>
      <c r="C242" s="1" t="s">
        <v>1072</v>
      </c>
      <c r="D242" s="1" t="s">
        <v>1082</v>
      </c>
      <c r="E242" s="1" t="s">
        <v>585</v>
      </c>
      <c r="F242" s="2" t="s">
        <v>67</v>
      </c>
      <c r="G242" s="48">
        <v>1.05</v>
      </c>
      <c r="H242" s="48">
        <f t="shared" si="3"/>
        <v>21</v>
      </c>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c r="AR242" s="50"/>
      <c r="AS242" s="50"/>
      <c r="AT242" s="50"/>
      <c r="AU242" s="50"/>
      <c r="AV242" s="50"/>
      <c r="AW242" s="50"/>
      <c r="AX242" s="50"/>
      <c r="AY242" s="50"/>
      <c r="AZ242" s="50"/>
      <c r="BA242" s="50"/>
      <c r="BB242" s="50"/>
      <c r="BC242" s="50"/>
      <c r="BD242" s="50"/>
      <c r="BE242" s="50"/>
      <c r="BF242" s="50"/>
    </row>
    <row r="243" spans="1:58" s="1" customFormat="1" ht="38.25">
      <c r="A243" s="1" t="s">
        <v>1083</v>
      </c>
      <c r="B243" s="1" t="s">
        <v>924</v>
      </c>
      <c r="C243" s="1" t="s">
        <v>1072</v>
      </c>
      <c r="D243" s="1" t="s">
        <v>1084</v>
      </c>
      <c r="E243" s="1" t="s">
        <v>585</v>
      </c>
      <c r="F243" s="2" t="s">
        <v>821</v>
      </c>
      <c r="G243" s="48">
        <v>0.875</v>
      </c>
      <c r="H243" s="48">
        <f t="shared" si="3"/>
        <v>105</v>
      </c>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c r="AS243" s="50"/>
      <c r="AT243" s="50"/>
      <c r="AU243" s="50"/>
      <c r="AV243" s="50"/>
      <c r="AW243" s="50"/>
      <c r="AX243" s="50"/>
      <c r="AY243" s="50"/>
      <c r="AZ243" s="50"/>
      <c r="BA243" s="50"/>
      <c r="BB243" s="50"/>
      <c r="BC243" s="50"/>
      <c r="BD243" s="50"/>
      <c r="BE243" s="50"/>
      <c r="BF243" s="50"/>
    </row>
    <row r="244" spans="1:58" s="1" customFormat="1" ht="38.25">
      <c r="A244" s="1" t="s">
        <v>1085</v>
      </c>
      <c r="B244" s="1" t="s">
        <v>924</v>
      </c>
      <c r="C244" s="1" t="s">
        <v>1072</v>
      </c>
      <c r="D244" s="1" t="s">
        <v>1086</v>
      </c>
      <c r="E244" s="1" t="s">
        <v>585</v>
      </c>
      <c r="F244" s="2" t="s">
        <v>821</v>
      </c>
      <c r="G244" s="48">
        <v>1.05</v>
      </c>
      <c r="H244" s="48">
        <f t="shared" si="3"/>
        <v>126</v>
      </c>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c r="AS244" s="50"/>
      <c r="AT244" s="50"/>
      <c r="AU244" s="50"/>
      <c r="AV244" s="50"/>
      <c r="AW244" s="50"/>
      <c r="AX244" s="50"/>
      <c r="AY244" s="50"/>
      <c r="AZ244" s="50"/>
      <c r="BA244" s="50"/>
      <c r="BB244" s="50"/>
      <c r="BC244" s="50"/>
      <c r="BD244" s="50"/>
      <c r="BE244" s="50"/>
      <c r="BF244" s="50"/>
    </row>
    <row r="245" spans="1:58" s="1" customFormat="1" ht="38.25">
      <c r="A245" s="1" t="s">
        <v>1087</v>
      </c>
      <c r="B245" s="1" t="s">
        <v>924</v>
      </c>
      <c r="C245" s="1" t="s">
        <v>1072</v>
      </c>
      <c r="D245" s="1" t="s">
        <v>1088</v>
      </c>
      <c r="E245" s="1" t="s">
        <v>585</v>
      </c>
      <c r="F245" s="2" t="s">
        <v>821</v>
      </c>
      <c r="G245" s="48">
        <v>1.05</v>
      </c>
      <c r="H245" s="48">
        <f t="shared" si="3"/>
        <v>126</v>
      </c>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0"/>
      <c r="AV245" s="50"/>
      <c r="AW245" s="50"/>
      <c r="AX245" s="50"/>
      <c r="AY245" s="50"/>
      <c r="AZ245" s="50"/>
      <c r="BA245" s="50"/>
      <c r="BB245" s="50"/>
      <c r="BC245" s="50"/>
      <c r="BD245" s="50"/>
      <c r="BE245" s="50"/>
      <c r="BF245" s="50"/>
    </row>
    <row r="246" spans="1:58" s="1" customFormat="1" ht="38.25">
      <c r="A246" s="1" t="s">
        <v>1089</v>
      </c>
      <c r="B246" s="1" t="s">
        <v>924</v>
      </c>
      <c r="C246" s="1" t="s">
        <v>1072</v>
      </c>
      <c r="D246" s="1" t="s">
        <v>1090</v>
      </c>
      <c r="E246" s="1" t="s">
        <v>585</v>
      </c>
      <c r="F246" s="2" t="s">
        <v>120</v>
      </c>
      <c r="G246" s="48">
        <v>1.05</v>
      </c>
      <c r="H246" s="48">
        <f t="shared" si="3"/>
        <v>42</v>
      </c>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0"/>
      <c r="AV246" s="50"/>
      <c r="AW246" s="50"/>
      <c r="AX246" s="50"/>
      <c r="AY246" s="50"/>
      <c r="AZ246" s="50"/>
      <c r="BA246" s="50"/>
      <c r="BB246" s="50"/>
      <c r="BC246" s="50"/>
      <c r="BD246" s="50"/>
      <c r="BE246" s="50"/>
      <c r="BF246" s="50"/>
    </row>
    <row r="247" spans="1:58" s="1" customFormat="1" ht="38.25">
      <c r="A247" s="1" t="s">
        <v>1091</v>
      </c>
      <c r="B247" s="1" t="s">
        <v>924</v>
      </c>
      <c r="C247" s="1" t="s">
        <v>1072</v>
      </c>
      <c r="D247" s="1" t="s">
        <v>1092</v>
      </c>
      <c r="E247" s="1" t="s">
        <v>585</v>
      </c>
      <c r="F247" s="2" t="s">
        <v>1033</v>
      </c>
      <c r="G247" s="48">
        <v>1.05</v>
      </c>
      <c r="H247" s="48">
        <f t="shared" si="3"/>
        <v>231</v>
      </c>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c r="AZ247" s="50"/>
      <c r="BA247" s="50"/>
      <c r="BB247" s="50"/>
      <c r="BC247" s="50"/>
      <c r="BD247" s="50"/>
      <c r="BE247" s="50"/>
      <c r="BF247" s="50"/>
    </row>
    <row r="248" spans="1:58" s="1" customFormat="1" ht="38.25">
      <c r="A248" s="1" t="s">
        <v>1093</v>
      </c>
      <c r="B248" s="1" t="s">
        <v>924</v>
      </c>
      <c r="C248" s="1" t="s">
        <v>1072</v>
      </c>
      <c r="D248" s="1" t="s">
        <v>1094</v>
      </c>
      <c r="E248" s="1" t="s">
        <v>585</v>
      </c>
      <c r="F248" s="2" t="s">
        <v>120</v>
      </c>
      <c r="G248" s="48">
        <v>1.05</v>
      </c>
      <c r="H248" s="48">
        <f t="shared" si="3"/>
        <v>42</v>
      </c>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0"/>
      <c r="AV248" s="50"/>
      <c r="AW248" s="50"/>
      <c r="AX248" s="50"/>
      <c r="AY248" s="50"/>
      <c r="AZ248" s="50"/>
      <c r="BA248" s="50"/>
      <c r="BB248" s="50"/>
      <c r="BC248" s="50"/>
      <c r="BD248" s="50"/>
      <c r="BE248" s="50"/>
      <c r="BF248" s="50"/>
    </row>
    <row r="249" spans="1:58" s="1" customFormat="1" ht="38.25">
      <c r="A249" s="1" t="s">
        <v>1095</v>
      </c>
      <c r="B249" s="1" t="s">
        <v>924</v>
      </c>
      <c r="C249" s="1" t="s">
        <v>1072</v>
      </c>
      <c r="D249" s="1" t="s">
        <v>1096</v>
      </c>
      <c r="E249" s="1" t="s">
        <v>585</v>
      </c>
      <c r="F249" s="2" t="s">
        <v>67</v>
      </c>
      <c r="G249" s="48">
        <v>0</v>
      </c>
      <c r="H249" s="48">
        <f t="shared" si="3"/>
        <v>0</v>
      </c>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c r="AZ249" s="50"/>
      <c r="BA249" s="50"/>
      <c r="BB249" s="50"/>
      <c r="BC249" s="50"/>
      <c r="BD249" s="50"/>
      <c r="BE249" s="50"/>
      <c r="BF249" s="50"/>
    </row>
    <row r="250" spans="1:58" s="1" customFormat="1" ht="114.75">
      <c r="A250" s="1" t="s">
        <v>1097</v>
      </c>
      <c r="B250" s="1" t="s">
        <v>924</v>
      </c>
      <c r="C250" s="1" t="s">
        <v>1098</v>
      </c>
      <c r="D250" s="1" t="s">
        <v>1099</v>
      </c>
      <c r="E250" s="1" t="s">
        <v>13</v>
      </c>
      <c r="F250" s="2" t="s">
        <v>8</v>
      </c>
      <c r="G250" s="48">
        <v>0</v>
      </c>
      <c r="H250" s="48">
        <f t="shared" si="3"/>
        <v>0</v>
      </c>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c r="AR250" s="50"/>
      <c r="AS250" s="50"/>
      <c r="AT250" s="50"/>
      <c r="AU250" s="50"/>
      <c r="AV250" s="50"/>
      <c r="AW250" s="50"/>
      <c r="AX250" s="50"/>
      <c r="AY250" s="50"/>
      <c r="AZ250" s="50"/>
      <c r="BA250" s="50"/>
      <c r="BB250" s="50"/>
      <c r="BC250" s="50"/>
      <c r="BD250" s="50"/>
      <c r="BE250" s="50"/>
      <c r="BF250" s="50"/>
    </row>
    <row r="251" spans="1:58" s="1" customFormat="1" ht="38.25">
      <c r="A251" s="1" t="s">
        <v>1100</v>
      </c>
      <c r="B251" s="1" t="s">
        <v>924</v>
      </c>
      <c r="C251" s="1" t="s">
        <v>1098</v>
      </c>
      <c r="D251" s="1" t="s">
        <v>1101</v>
      </c>
      <c r="E251" s="1" t="s">
        <v>585</v>
      </c>
      <c r="F251" s="2" t="s">
        <v>1033</v>
      </c>
      <c r="G251" s="48">
        <v>0.37</v>
      </c>
      <c r="H251" s="48">
        <f t="shared" si="3"/>
        <v>81.400000000000006</v>
      </c>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50"/>
      <c r="AU251" s="50"/>
      <c r="AV251" s="50"/>
      <c r="AW251" s="50"/>
      <c r="AX251" s="50"/>
      <c r="AY251" s="50"/>
      <c r="AZ251" s="50"/>
      <c r="BA251" s="50"/>
      <c r="BB251" s="50"/>
      <c r="BC251" s="50"/>
      <c r="BD251" s="50"/>
      <c r="BE251" s="50"/>
      <c r="BF251" s="50"/>
    </row>
    <row r="252" spans="1:58" s="1" customFormat="1" ht="38.25">
      <c r="A252" s="1" t="s">
        <v>1102</v>
      </c>
      <c r="B252" s="1" t="s">
        <v>924</v>
      </c>
      <c r="C252" s="1" t="s">
        <v>1098</v>
      </c>
      <c r="D252" s="1" t="s">
        <v>1103</v>
      </c>
      <c r="E252" s="1" t="s">
        <v>585</v>
      </c>
      <c r="F252" s="2" t="s">
        <v>67</v>
      </c>
      <c r="G252" s="48">
        <v>0</v>
      </c>
      <c r="H252" s="48">
        <f t="shared" si="3"/>
        <v>0</v>
      </c>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50"/>
      <c r="AU252" s="50"/>
      <c r="AV252" s="50"/>
      <c r="AW252" s="50"/>
      <c r="AX252" s="50"/>
      <c r="AY252" s="50"/>
      <c r="AZ252" s="50"/>
      <c r="BA252" s="50"/>
      <c r="BB252" s="50"/>
      <c r="BC252" s="50"/>
      <c r="BD252" s="50"/>
      <c r="BE252" s="50"/>
      <c r="BF252" s="50"/>
    </row>
    <row r="253" spans="1:58" s="1" customFormat="1" ht="38.25">
      <c r="A253" s="1" t="s">
        <v>1104</v>
      </c>
      <c r="B253" s="1" t="s">
        <v>924</v>
      </c>
      <c r="C253" s="1" t="s">
        <v>1098</v>
      </c>
      <c r="D253" s="1" t="s">
        <v>1105</v>
      </c>
      <c r="E253" s="1" t="s">
        <v>585</v>
      </c>
      <c r="F253" s="2" t="s">
        <v>1106</v>
      </c>
      <c r="G253" s="48">
        <v>0.25</v>
      </c>
      <c r="H253" s="48">
        <f t="shared" si="3"/>
        <v>105</v>
      </c>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c r="AS253" s="50"/>
      <c r="AT253" s="50"/>
      <c r="AU253" s="50"/>
      <c r="AV253" s="50"/>
      <c r="AW253" s="50"/>
      <c r="AX253" s="50"/>
      <c r="AY253" s="50"/>
      <c r="AZ253" s="50"/>
      <c r="BA253" s="50"/>
      <c r="BB253" s="50"/>
      <c r="BC253" s="50"/>
      <c r="BD253" s="50"/>
      <c r="BE253" s="50"/>
      <c r="BF253" s="50"/>
    </row>
    <row r="254" spans="1:58" s="1" customFormat="1" ht="38.25">
      <c r="A254" s="1" t="s">
        <v>1107</v>
      </c>
      <c r="B254" s="1" t="s">
        <v>924</v>
      </c>
      <c r="C254" s="1" t="s">
        <v>1098</v>
      </c>
      <c r="D254" s="1" t="s">
        <v>1108</v>
      </c>
      <c r="E254" s="1" t="s">
        <v>585</v>
      </c>
      <c r="F254" s="2" t="s">
        <v>1033</v>
      </c>
      <c r="G254" s="48">
        <v>0.115</v>
      </c>
      <c r="H254" s="48">
        <f t="shared" si="3"/>
        <v>25.3</v>
      </c>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c r="AS254" s="50"/>
      <c r="AT254" s="50"/>
      <c r="AU254" s="50"/>
      <c r="AV254" s="50"/>
      <c r="AW254" s="50"/>
      <c r="AX254" s="50"/>
      <c r="AY254" s="50"/>
      <c r="AZ254" s="50"/>
      <c r="BA254" s="50"/>
      <c r="BB254" s="50"/>
      <c r="BC254" s="50"/>
      <c r="BD254" s="50"/>
      <c r="BE254" s="50"/>
      <c r="BF254" s="50"/>
    </row>
    <row r="255" spans="1:58" s="1" customFormat="1" ht="38.25">
      <c r="A255" s="1" t="s">
        <v>1109</v>
      </c>
      <c r="B255" s="1" t="s">
        <v>924</v>
      </c>
      <c r="C255" s="1" t="s">
        <v>1098</v>
      </c>
      <c r="D255" s="1" t="s">
        <v>1110</v>
      </c>
      <c r="E255" s="1" t="s">
        <v>585</v>
      </c>
      <c r="F255" s="2" t="s">
        <v>178</v>
      </c>
      <c r="G255" s="48">
        <v>0.21</v>
      </c>
      <c r="H255" s="48">
        <f t="shared" si="3"/>
        <v>12.6</v>
      </c>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c r="AS255" s="50"/>
      <c r="AT255" s="50"/>
      <c r="AU255" s="50"/>
      <c r="AV255" s="50"/>
      <c r="AW255" s="50"/>
      <c r="AX255" s="50"/>
      <c r="AY255" s="50"/>
      <c r="AZ255" s="50"/>
      <c r="BA255" s="50"/>
      <c r="BB255" s="50"/>
      <c r="BC255" s="50"/>
      <c r="BD255" s="50"/>
      <c r="BE255" s="50"/>
      <c r="BF255" s="50"/>
    </row>
    <row r="256" spans="1:58" s="1" customFormat="1" ht="38.25">
      <c r="A256" s="1" t="s">
        <v>1111</v>
      </c>
      <c r="B256" s="1" t="s">
        <v>924</v>
      </c>
      <c r="C256" s="1" t="s">
        <v>1098</v>
      </c>
      <c r="D256" s="1" t="s">
        <v>1112</v>
      </c>
      <c r="E256" s="1" t="s">
        <v>585</v>
      </c>
      <c r="F256" s="2" t="s">
        <v>120</v>
      </c>
      <c r="G256" s="48">
        <v>0</v>
      </c>
      <c r="H256" s="48">
        <f t="shared" si="3"/>
        <v>0</v>
      </c>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c r="AS256" s="50"/>
      <c r="AT256" s="50"/>
      <c r="AU256" s="50"/>
      <c r="AV256" s="50"/>
      <c r="AW256" s="50"/>
      <c r="AX256" s="50"/>
      <c r="AY256" s="50"/>
      <c r="AZ256" s="50"/>
      <c r="BA256" s="50"/>
      <c r="BB256" s="50"/>
      <c r="BC256" s="50"/>
      <c r="BD256" s="50"/>
      <c r="BE256" s="50"/>
      <c r="BF256" s="50"/>
    </row>
    <row r="257" spans="1:58" s="1" customFormat="1" ht="89.25">
      <c r="A257" s="1" t="s">
        <v>1113</v>
      </c>
      <c r="B257" s="1" t="s">
        <v>924</v>
      </c>
      <c r="C257" s="1" t="s">
        <v>1114</v>
      </c>
      <c r="D257" s="1" t="s">
        <v>1115</v>
      </c>
      <c r="E257" s="1" t="s">
        <v>13</v>
      </c>
      <c r="F257" s="2" t="s">
        <v>14</v>
      </c>
      <c r="G257" s="48">
        <v>0</v>
      </c>
      <c r="H257" s="48">
        <f t="shared" si="3"/>
        <v>0</v>
      </c>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c r="AR257" s="50"/>
      <c r="AS257" s="50"/>
      <c r="AT257" s="50"/>
      <c r="AU257" s="50"/>
      <c r="AV257" s="50"/>
      <c r="AW257" s="50"/>
      <c r="AX257" s="50"/>
      <c r="AY257" s="50"/>
      <c r="AZ257" s="50"/>
      <c r="BA257" s="50"/>
      <c r="BB257" s="50"/>
      <c r="BC257" s="50"/>
      <c r="BD257" s="50"/>
      <c r="BE257" s="50"/>
      <c r="BF257" s="50"/>
    </row>
    <row r="258" spans="1:58" s="1" customFormat="1" ht="38.25">
      <c r="A258" s="1" t="s">
        <v>1116</v>
      </c>
      <c r="B258" s="1" t="s">
        <v>924</v>
      </c>
      <c r="C258" s="1" t="s">
        <v>1098</v>
      </c>
      <c r="D258" s="1" t="s">
        <v>1117</v>
      </c>
      <c r="E258" s="1" t="s">
        <v>585</v>
      </c>
      <c r="F258" s="2" t="s">
        <v>1074</v>
      </c>
      <c r="G258" s="48">
        <v>1.75</v>
      </c>
      <c r="H258" s="48">
        <f t="shared" ref="H258:H297" si="4">F258*G258</f>
        <v>1260</v>
      </c>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c r="AR258" s="50"/>
      <c r="AS258" s="50"/>
      <c r="AT258" s="50"/>
      <c r="AU258" s="50"/>
      <c r="AV258" s="50"/>
      <c r="AW258" s="50"/>
      <c r="AX258" s="50"/>
      <c r="AY258" s="50"/>
      <c r="AZ258" s="50"/>
      <c r="BA258" s="50"/>
      <c r="BB258" s="50"/>
      <c r="BC258" s="50"/>
      <c r="BD258" s="50"/>
      <c r="BE258" s="50"/>
      <c r="BF258" s="50"/>
    </row>
    <row r="259" spans="1:58" s="1" customFormat="1" ht="38.25">
      <c r="A259" s="1" t="s">
        <v>1118</v>
      </c>
      <c r="B259" s="1" t="s">
        <v>924</v>
      </c>
      <c r="C259" s="1" t="s">
        <v>1098</v>
      </c>
      <c r="D259" s="1" t="s">
        <v>1119</v>
      </c>
      <c r="E259" s="1" t="s">
        <v>585</v>
      </c>
      <c r="F259" s="2" t="s">
        <v>387</v>
      </c>
      <c r="G259" s="48">
        <v>2.31</v>
      </c>
      <c r="H259" s="48">
        <f t="shared" si="4"/>
        <v>462</v>
      </c>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c r="AP259" s="50"/>
      <c r="AQ259" s="50"/>
      <c r="AR259" s="50"/>
      <c r="AS259" s="50"/>
      <c r="AT259" s="50"/>
      <c r="AU259" s="50"/>
      <c r="AV259" s="50"/>
      <c r="AW259" s="50"/>
      <c r="AX259" s="50"/>
      <c r="AY259" s="50"/>
      <c r="AZ259" s="50"/>
      <c r="BA259" s="50"/>
      <c r="BB259" s="50"/>
      <c r="BC259" s="50"/>
      <c r="BD259" s="50"/>
      <c r="BE259" s="50"/>
      <c r="BF259" s="50"/>
    </row>
    <row r="260" spans="1:58" s="1" customFormat="1" ht="38.25">
      <c r="A260" s="1" t="s">
        <v>1120</v>
      </c>
      <c r="B260" s="1" t="s">
        <v>924</v>
      </c>
      <c r="C260" s="1" t="s">
        <v>1098</v>
      </c>
      <c r="D260" s="1" t="s">
        <v>1121</v>
      </c>
      <c r="E260" s="1" t="s">
        <v>585</v>
      </c>
      <c r="F260" s="2" t="s">
        <v>811</v>
      </c>
      <c r="G260" s="48">
        <v>3.2669999999999999</v>
      </c>
      <c r="H260" s="48">
        <f t="shared" si="4"/>
        <v>588.05999999999995</v>
      </c>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c r="AP260" s="50"/>
      <c r="AQ260" s="50"/>
      <c r="AR260" s="50"/>
      <c r="AS260" s="50"/>
      <c r="AT260" s="50"/>
      <c r="AU260" s="50"/>
      <c r="AV260" s="50"/>
      <c r="AW260" s="50"/>
      <c r="AX260" s="50"/>
      <c r="AY260" s="50"/>
      <c r="AZ260" s="50"/>
      <c r="BA260" s="50"/>
      <c r="BB260" s="50"/>
      <c r="BC260" s="50"/>
      <c r="BD260" s="50"/>
      <c r="BE260" s="50"/>
      <c r="BF260" s="50"/>
    </row>
    <row r="261" spans="1:58" s="1" customFormat="1" ht="38.25">
      <c r="A261" s="1" t="s">
        <v>1122</v>
      </c>
      <c r="B261" s="1" t="s">
        <v>924</v>
      </c>
      <c r="C261" s="1" t="s">
        <v>1098</v>
      </c>
      <c r="D261" s="1" t="s">
        <v>1123</v>
      </c>
      <c r="E261" s="1" t="s">
        <v>585</v>
      </c>
      <c r="F261" s="2" t="s">
        <v>821</v>
      </c>
      <c r="G261" s="48">
        <v>0</v>
      </c>
      <c r="H261" s="48">
        <f t="shared" si="4"/>
        <v>0</v>
      </c>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c r="AR261" s="50"/>
      <c r="AS261" s="50"/>
      <c r="AT261" s="50"/>
      <c r="AU261" s="50"/>
      <c r="AV261" s="50"/>
      <c r="AW261" s="50"/>
      <c r="AX261" s="50"/>
      <c r="AY261" s="50"/>
      <c r="AZ261" s="50"/>
      <c r="BA261" s="50"/>
      <c r="BB261" s="50"/>
      <c r="BC261" s="50"/>
      <c r="BD261" s="50"/>
      <c r="BE261" s="50"/>
      <c r="BF261" s="50"/>
    </row>
    <row r="262" spans="1:58" s="1" customFormat="1" ht="38.25">
      <c r="A262" s="1" t="s">
        <v>1124</v>
      </c>
      <c r="B262" s="1" t="s">
        <v>924</v>
      </c>
      <c r="C262" s="1" t="s">
        <v>1098</v>
      </c>
      <c r="D262" s="1" t="s">
        <v>1125</v>
      </c>
      <c r="E262" s="1" t="s">
        <v>585</v>
      </c>
      <c r="F262" s="2" t="s">
        <v>387</v>
      </c>
      <c r="G262" s="48">
        <v>0</v>
      </c>
      <c r="H262" s="48">
        <f t="shared" si="4"/>
        <v>0</v>
      </c>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c r="AR262" s="50"/>
      <c r="AS262" s="50"/>
      <c r="AT262" s="50"/>
      <c r="AU262" s="50"/>
      <c r="AV262" s="50"/>
      <c r="AW262" s="50"/>
      <c r="AX262" s="50"/>
      <c r="AY262" s="50"/>
      <c r="AZ262" s="50"/>
      <c r="BA262" s="50"/>
      <c r="BB262" s="50"/>
      <c r="BC262" s="50"/>
      <c r="BD262" s="50"/>
      <c r="BE262" s="50"/>
      <c r="BF262" s="50"/>
    </row>
    <row r="263" spans="1:58" s="1" customFormat="1" ht="38.25">
      <c r="A263" s="1" t="s">
        <v>1126</v>
      </c>
      <c r="B263" s="1" t="s">
        <v>924</v>
      </c>
      <c r="C263" s="1" t="s">
        <v>1098</v>
      </c>
      <c r="D263" s="1" t="s">
        <v>1127</v>
      </c>
      <c r="E263" s="1" t="s">
        <v>585</v>
      </c>
      <c r="F263" s="2" t="s">
        <v>811</v>
      </c>
      <c r="G263" s="48">
        <v>0</v>
      </c>
      <c r="H263" s="48">
        <f t="shared" si="4"/>
        <v>0</v>
      </c>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c r="AR263" s="50"/>
      <c r="AS263" s="50"/>
      <c r="AT263" s="50"/>
      <c r="AU263" s="50"/>
      <c r="AV263" s="50"/>
      <c r="AW263" s="50"/>
      <c r="AX263" s="50"/>
      <c r="AY263" s="50"/>
      <c r="AZ263" s="50"/>
      <c r="BA263" s="50"/>
      <c r="BB263" s="50"/>
      <c r="BC263" s="50"/>
      <c r="BD263" s="50"/>
      <c r="BE263" s="50"/>
      <c r="BF263" s="50"/>
    </row>
    <row r="264" spans="1:58" s="1" customFormat="1" ht="36" customHeight="1">
      <c r="A264" s="1" t="s">
        <v>1128</v>
      </c>
      <c r="B264" s="1" t="s">
        <v>924</v>
      </c>
      <c r="C264" s="1" t="s">
        <v>1098</v>
      </c>
      <c r="D264" s="1" t="s">
        <v>1129</v>
      </c>
      <c r="E264" s="1" t="s">
        <v>585</v>
      </c>
      <c r="F264" s="2" t="s">
        <v>1033</v>
      </c>
      <c r="G264" s="48">
        <v>0</v>
      </c>
      <c r="H264" s="48">
        <f t="shared" si="4"/>
        <v>0</v>
      </c>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c r="AR264" s="50"/>
      <c r="AS264" s="50"/>
      <c r="AT264" s="50"/>
      <c r="AU264" s="50"/>
      <c r="AV264" s="50"/>
      <c r="AW264" s="50"/>
      <c r="AX264" s="50"/>
      <c r="AY264" s="50"/>
      <c r="AZ264" s="50"/>
      <c r="BA264" s="50"/>
      <c r="BB264" s="50"/>
      <c r="BC264" s="50"/>
      <c r="BD264" s="50"/>
      <c r="BE264" s="50"/>
      <c r="BF264" s="50"/>
    </row>
    <row r="265" spans="1:58" s="1" customFormat="1" ht="38.25">
      <c r="A265" s="1" t="s">
        <v>1130</v>
      </c>
      <c r="B265" s="1" t="s">
        <v>924</v>
      </c>
      <c r="C265" s="1" t="s">
        <v>1098</v>
      </c>
      <c r="D265" s="1" t="s">
        <v>1131</v>
      </c>
      <c r="E265" s="1" t="s">
        <v>585</v>
      </c>
      <c r="F265" s="2" t="s">
        <v>67</v>
      </c>
      <c r="G265" s="48">
        <v>0</v>
      </c>
      <c r="H265" s="48">
        <f t="shared" si="4"/>
        <v>0</v>
      </c>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c r="AP265" s="50"/>
      <c r="AQ265" s="50"/>
      <c r="AR265" s="50"/>
      <c r="AS265" s="50"/>
      <c r="AT265" s="50"/>
      <c r="AU265" s="50"/>
      <c r="AV265" s="50"/>
      <c r="AW265" s="50"/>
      <c r="AX265" s="50"/>
      <c r="AY265" s="50"/>
      <c r="AZ265" s="50"/>
      <c r="BA265" s="50"/>
      <c r="BB265" s="50"/>
      <c r="BC265" s="50"/>
      <c r="BD265" s="50"/>
      <c r="BE265" s="50"/>
      <c r="BF265" s="50"/>
    </row>
    <row r="266" spans="1:58" s="1" customFormat="1" ht="38.25">
      <c r="A266" s="1" t="s">
        <v>1132</v>
      </c>
      <c r="B266" s="1" t="s">
        <v>924</v>
      </c>
      <c r="C266" s="1" t="s">
        <v>1098</v>
      </c>
      <c r="D266" s="1" t="s">
        <v>1133</v>
      </c>
      <c r="E266" s="1" t="s">
        <v>585</v>
      </c>
      <c r="F266" s="2" t="s">
        <v>811</v>
      </c>
      <c r="G266" s="48">
        <v>2.1</v>
      </c>
      <c r="H266" s="48">
        <f t="shared" si="4"/>
        <v>378</v>
      </c>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c r="AR266" s="50"/>
      <c r="AS266" s="50"/>
      <c r="AT266" s="50"/>
      <c r="AU266" s="50"/>
      <c r="AV266" s="50"/>
      <c r="AW266" s="50"/>
      <c r="AX266" s="50"/>
      <c r="AY266" s="50"/>
      <c r="AZ266" s="50"/>
      <c r="BA266" s="50"/>
      <c r="BB266" s="50"/>
      <c r="BC266" s="50"/>
      <c r="BD266" s="50"/>
      <c r="BE266" s="50"/>
      <c r="BF266" s="50"/>
    </row>
    <row r="267" spans="1:58" s="1" customFormat="1" ht="38.25">
      <c r="A267" s="1" t="s">
        <v>1134</v>
      </c>
      <c r="B267" s="1" t="s">
        <v>924</v>
      </c>
      <c r="C267" s="1" t="s">
        <v>1098</v>
      </c>
      <c r="D267" s="1" t="s">
        <v>1135</v>
      </c>
      <c r="E267" s="1" t="s">
        <v>585</v>
      </c>
      <c r="F267" s="2" t="s">
        <v>120</v>
      </c>
      <c r="G267" s="48">
        <v>4.2</v>
      </c>
      <c r="H267" s="48">
        <f t="shared" si="4"/>
        <v>168</v>
      </c>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c r="AR267" s="50"/>
      <c r="AS267" s="50"/>
      <c r="AT267" s="50"/>
      <c r="AU267" s="50"/>
      <c r="AV267" s="50"/>
      <c r="AW267" s="50"/>
      <c r="AX267" s="50"/>
      <c r="AY267" s="50"/>
      <c r="AZ267" s="50"/>
      <c r="BA267" s="50"/>
      <c r="BB267" s="50"/>
      <c r="BC267" s="50"/>
      <c r="BD267" s="50"/>
      <c r="BE267" s="50"/>
      <c r="BF267" s="50"/>
    </row>
    <row r="268" spans="1:58" s="1" customFormat="1" ht="33.75" customHeight="1">
      <c r="A268" s="1" t="s">
        <v>1136</v>
      </c>
      <c r="B268" s="1" t="s">
        <v>924</v>
      </c>
      <c r="C268" s="1" t="s">
        <v>1098</v>
      </c>
      <c r="D268" s="1" t="s">
        <v>1137</v>
      </c>
      <c r="E268" s="1" t="s">
        <v>585</v>
      </c>
      <c r="F268" s="2" t="s">
        <v>821</v>
      </c>
      <c r="G268" s="48">
        <v>2.1</v>
      </c>
      <c r="H268" s="48">
        <f t="shared" si="4"/>
        <v>252</v>
      </c>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c r="AR268" s="50"/>
      <c r="AS268" s="50"/>
      <c r="AT268" s="50"/>
      <c r="AU268" s="50"/>
      <c r="AV268" s="50"/>
      <c r="AW268" s="50"/>
      <c r="AX268" s="50"/>
      <c r="AY268" s="50"/>
      <c r="AZ268" s="50"/>
      <c r="BA268" s="50"/>
      <c r="BB268" s="50"/>
      <c r="BC268" s="50"/>
      <c r="BD268" s="50"/>
      <c r="BE268" s="50"/>
      <c r="BF268" s="50"/>
    </row>
    <row r="269" spans="1:58" s="1" customFormat="1" ht="25.5">
      <c r="A269" s="1" t="s">
        <v>1138</v>
      </c>
      <c r="B269" s="1" t="s">
        <v>1139</v>
      </c>
      <c r="C269" s="1" t="s">
        <v>928</v>
      </c>
      <c r="D269" s="1" t="s">
        <v>1140</v>
      </c>
      <c r="E269" s="1" t="s">
        <v>585</v>
      </c>
      <c r="F269" s="2" t="s">
        <v>821</v>
      </c>
      <c r="G269" s="48">
        <v>2.1</v>
      </c>
      <c r="H269" s="48">
        <f t="shared" si="4"/>
        <v>252</v>
      </c>
      <c r="I269" s="49">
        <f>SUM(H270:H294)</f>
        <v>12757.5</v>
      </c>
      <c r="J269" s="50" t="s">
        <v>1756</v>
      </c>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c r="AP269" s="50"/>
      <c r="AQ269" s="50"/>
      <c r="AR269" s="50"/>
      <c r="AS269" s="50"/>
      <c r="AT269" s="50"/>
      <c r="AU269" s="50"/>
      <c r="AV269" s="50"/>
      <c r="AW269" s="50"/>
      <c r="AX269" s="50"/>
      <c r="AY269" s="50"/>
      <c r="AZ269" s="50"/>
      <c r="BA269" s="50"/>
      <c r="BB269" s="50"/>
      <c r="BC269" s="50"/>
      <c r="BD269" s="50"/>
      <c r="BE269" s="50"/>
      <c r="BF269" s="50"/>
    </row>
    <row r="270" spans="1:58" s="1" customFormat="1" ht="25.5">
      <c r="A270" s="1" t="s">
        <v>1141</v>
      </c>
      <c r="B270" s="1" t="s">
        <v>1139</v>
      </c>
      <c r="C270" s="1" t="s">
        <v>1142</v>
      </c>
      <c r="D270" s="1" t="s">
        <v>1143</v>
      </c>
      <c r="E270" s="1" t="s">
        <v>585</v>
      </c>
      <c r="F270" s="2" t="s">
        <v>821</v>
      </c>
      <c r="G270" s="48">
        <v>2.1</v>
      </c>
      <c r="H270" s="48">
        <f t="shared" si="4"/>
        <v>252</v>
      </c>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c r="AR270" s="50"/>
      <c r="AS270" s="50"/>
      <c r="AT270" s="50"/>
      <c r="AU270" s="50"/>
      <c r="AV270" s="50"/>
      <c r="AW270" s="50"/>
      <c r="AX270" s="50"/>
      <c r="AY270" s="50"/>
      <c r="AZ270" s="50"/>
      <c r="BA270" s="50"/>
      <c r="BB270" s="50"/>
      <c r="BC270" s="50"/>
      <c r="BD270" s="50"/>
      <c r="BE270" s="50"/>
      <c r="BF270" s="50"/>
    </row>
    <row r="271" spans="1:58" s="1" customFormat="1" ht="51">
      <c r="A271" s="1" t="s">
        <v>1144</v>
      </c>
      <c r="B271" s="1" t="s">
        <v>1139</v>
      </c>
      <c r="C271" s="1" t="s">
        <v>1139</v>
      </c>
      <c r="D271" s="1" t="s">
        <v>1145</v>
      </c>
      <c r="E271" s="1" t="s">
        <v>13</v>
      </c>
      <c r="F271" s="2" t="s">
        <v>8</v>
      </c>
      <c r="G271" s="48">
        <v>0</v>
      </c>
      <c r="H271" s="48">
        <f t="shared" si="4"/>
        <v>0</v>
      </c>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c r="AP271" s="50"/>
      <c r="AQ271" s="50"/>
      <c r="AR271" s="50"/>
      <c r="AS271" s="50"/>
      <c r="AT271" s="50"/>
      <c r="AU271" s="50"/>
      <c r="AV271" s="50"/>
      <c r="AW271" s="50"/>
      <c r="AX271" s="50"/>
      <c r="AY271" s="50"/>
      <c r="AZ271" s="50"/>
      <c r="BA271" s="50"/>
      <c r="BB271" s="50"/>
      <c r="BC271" s="50"/>
      <c r="BD271" s="50"/>
      <c r="BE271" s="50"/>
      <c r="BF271" s="50"/>
    </row>
    <row r="272" spans="1:58" s="1" customFormat="1" ht="51">
      <c r="A272" s="1" t="s">
        <v>1146</v>
      </c>
      <c r="B272" s="1" t="s">
        <v>1147</v>
      </c>
      <c r="C272" s="1" t="s">
        <v>928</v>
      </c>
      <c r="D272" s="1" t="s">
        <v>1148</v>
      </c>
      <c r="E272" s="1" t="s">
        <v>585</v>
      </c>
      <c r="F272" s="2" t="s">
        <v>821</v>
      </c>
      <c r="G272" s="48">
        <v>2.4500000000000002</v>
      </c>
      <c r="H272" s="48">
        <f t="shared" si="4"/>
        <v>294</v>
      </c>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c r="AR272" s="50"/>
      <c r="AS272" s="50"/>
      <c r="AT272" s="50"/>
      <c r="AU272" s="50"/>
      <c r="AV272" s="50"/>
      <c r="AW272" s="50"/>
      <c r="AX272" s="50"/>
      <c r="AY272" s="50"/>
      <c r="AZ272" s="50"/>
      <c r="BA272" s="50"/>
      <c r="BB272" s="50"/>
      <c r="BC272" s="50"/>
      <c r="BD272" s="50"/>
      <c r="BE272" s="50"/>
      <c r="BF272" s="50"/>
    </row>
    <row r="273" spans="1:58" s="1" customFormat="1" ht="25.5">
      <c r="A273" s="1" t="s">
        <v>1149</v>
      </c>
      <c r="B273" s="1" t="s">
        <v>1147</v>
      </c>
      <c r="C273" s="1" t="s">
        <v>1142</v>
      </c>
      <c r="D273" s="1" t="s">
        <v>1150</v>
      </c>
      <c r="E273" s="1" t="s">
        <v>585</v>
      </c>
      <c r="F273" s="2" t="s">
        <v>821</v>
      </c>
      <c r="G273" s="48">
        <v>2.4500000000000002</v>
      </c>
      <c r="H273" s="48">
        <f t="shared" si="4"/>
        <v>294</v>
      </c>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c r="AR273" s="50"/>
      <c r="AS273" s="50"/>
      <c r="AT273" s="50"/>
      <c r="AU273" s="50"/>
      <c r="AV273" s="50"/>
      <c r="AW273" s="50"/>
      <c r="AX273" s="50"/>
      <c r="AY273" s="50"/>
      <c r="AZ273" s="50"/>
      <c r="BA273" s="50"/>
      <c r="BB273" s="50"/>
      <c r="BC273" s="50"/>
      <c r="BD273" s="50"/>
      <c r="BE273" s="50"/>
      <c r="BF273" s="50"/>
    </row>
    <row r="274" spans="1:58" s="1" customFormat="1" ht="25.5">
      <c r="A274" s="1" t="s">
        <v>1151</v>
      </c>
      <c r="B274" s="1" t="s">
        <v>1147</v>
      </c>
      <c r="C274" s="1" t="s">
        <v>1152</v>
      </c>
      <c r="D274" s="1" t="s">
        <v>1153</v>
      </c>
      <c r="E274" s="1" t="s">
        <v>585</v>
      </c>
      <c r="F274" s="2" t="s">
        <v>67</v>
      </c>
      <c r="G274" s="48">
        <v>2.1</v>
      </c>
      <c r="H274" s="48">
        <f t="shared" si="4"/>
        <v>42</v>
      </c>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c r="AR274" s="50"/>
      <c r="AS274" s="50"/>
      <c r="AT274" s="50"/>
      <c r="AU274" s="50"/>
      <c r="AV274" s="50"/>
      <c r="AW274" s="50"/>
      <c r="AX274" s="50"/>
      <c r="AY274" s="50"/>
      <c r="AZ274" s="50"/>
      <c r="BA274" s="50"/>
      <c r="BB274" s="50"/>
      <c r="BC274" s="50"/>
      <c r="BD274" s="50"/>
      <c r="BE274" s="50"/>
      <c r="BF274" s="50"/>
    </row>
    <row r="275" spans="1:58" s="1" customFormat="1" ht="51">
      <c r="A275" s="1" t="s">
        <v>1154</v>
      </c>
      <c r="B275" s="1" t="s">
        <v>1147</v>
      </c>
      <c r="C275" s="1" t="s">
        <v>931</v>
      </c>
      <c r="D275" s="1" t="s">
        <v>1155</v>
      </c>
      <c r="E275" s="1" t="s">
        <v>13</v>
      </c>
      <c r="F275" s="2" t="s">
        <v>8</v>
      </c>
      <c r="G275" s="48">
        <v>0</v>
      </c>
      <c r="H275" s="48">
        <f t="shared" si="4"/>
        <v>0</v>
      </c>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c r="AV275" s="50"/>
      <c r="AW275" s="50"/>
      <c r="AX275" s="50"/>
      <c r="AY275" s="50"/>
      <c r="AZ275" s="50"/>
      <c r="BA275" s="50"/>
      <c r="BB275" s="50"/>
      <c r="BC275" s="50"/>
      <c r="BD275" s="50"/>
      <c r="BE275" s="50"/>
      <c r="BF275" s="50"/>
    </row>
    <row r="276" spans="1:58" s="1" customFormat="1" ht="38.25">
      <c r="A276" s="1" t="s">
        <v>1156</v>
      </c>
      <c r="B276" s="1" t="s">
        <v>1147</v>
      </c>
      <c r="C276" s="1" t="s">
        <v>1157</v>
      </c>
      <c r="D276" s="1" t="s">
        <v>1158</v>
      </c>
      <c r="E276" s="1" t="s">
        <v>13</v>
      </c>
      <c r="F276" s="2" t="s">
        <v>8</v>
      </c>
      <c r="G276" s="48">
        <v>0</v>
      </c>
      <c r="H276" s="48">
        <f t="shared" si="4"/>
        <v>0</v>
      </c>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c r="AS276" s="50"/>
      <c r="AT276" s="50"/>
      <c r="AU276" s="50"/>
      <c r="AV276" s="50"/>
      <c r="AW276" s="50"/>
      <c r="AX276" s="50"/>
      <c r="AY276" s="50"/>
      <c r="AZ276" s="50"/>
      <c r="BA276" s="50"/>
      <c r="BB276" s="50"/>
      <c r="BC276" s="50"/>
      <c r="BD276" s="50"/>
      <c r="BE276" s="50"/>
      <c r="BF276" s="50"/>
    </row>
    <row r="277" spans="1:58" s="1" customFormat="1" ht="63.75">
      <c r="A277" s="1" t="s">
        <v>1159</v>
      </c>
      <c r="B277" s="1" t="s">
        <v>1147</v>
      </c>
      <c r="C277" s="1" t="s">
        <v>1160</v>
      </c>
      <c r="D277" s="1" t="s">
        <v>1161</v>
      </c>
      <c r="E277" s="1" t="s">
        <v>13</v>
      </c>
      <c r="F277" s="2" t="s">
        <v>8</v>
      </c>
      <c r="G277" s="48">
        <v>0</v>
      </c>
      <c r="H277" s="48">
        <f t="shared" si="4"/>
        <v>0</v>
      </c>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c r="AR277" s="50"/>
      <c r="AS277" s="50"/>
      <c r="AT277" s="50"/>
      <c r="AU277" s="50"/>
      <c r="AV277" s="50"/>
      <c r="AW277" s="50"/>
      <c r="AX277" s="50"/>
      <c r="AY277" s="50"/>
      <c r="AZ277" s="50"/>
      <c r="BA277" s="50"/>
      <c r="BB277" s="50"/>
      <c r="BC277" s="50"/>
      <c r="BD277" s="50"/>
      <c r="BE277" s="50"/>
      <c r="BF277" s="50"/>
    </row>
    <row r="278" spans="1:58" s="1" customFormat="1" ht="51">
      <c r="A278" s="1" t="s">
        <v>1162</v>
      </c>
      <c r="B278" s="1" t="s">
        <v>1163</v>
      </c>
      <c r="C278" s="1" t="s">
        <v>1163</v>
      </c>
      <c r="D278" s="1" t="s">
        <v>1164</v>
      </c>
      <c r="E278" s="1" t="s">
        <v>333</v>
      </c>
      <c r="F278" s="2" t="s">
        <v>8</v>
      </c>
      <c r="G278" s="48">
        <v>0</v>
      </c>
      <c r="H278" s="48">
        <f t="shared" si="4"/>
        <v>0</v>
      </c>
      <c r="I278" s="49"/>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c r="AP278" s="50"/>
      <c r="AQ278" s="50"/>
      <c r="AR278" s="50"/>
      <c r="AS278" s="50"/>
      <c r="AT278" s="50"/>
      <c r="AU278" s="50"/>
      <c r="AV278" s="50"/>
      <c r="AW278" s="50"/>
      <c r="AX278" s="50"/>
      <c r="AY278" s="50"/>
      <c r="AZ278" s="50"/>
      <c r="BA278" s="50"/>
      <c r="BB278" s="50"/>
      <c r="BC278" s="50"/>
      <c r="BD278" s="50"/>
      <c r="BE278" s="50"/>
      <c r="BF278" s="50"/>
    </row>
    <row r="279" spans="1:58" s="1" customFormat="1" ht="38.25">
      <c r="A279" s="1" t="s">
        <v>1165</v>
      </c>
      <c r="B279" s="1" t="s">
        <v>1166</v>
      </c>
      <c r="C279" s="1" t="s">
        <v>1167</v>
      </c>
      <c r="D279" s="1" t="s">
        <v>1168</v>
      </c>
      <c r="E279" s="1" t="s">
        <v>333</v>
      </c>
      <c r="F279" s="2" t="s">
        <v>8</v>
      </c>
      <c r="G279" s="48">
        <v>472.5</v>
      </c>
      <c r="H279" s="48">
        <f t="shared" si="4"/>
        <v>472.5</v>
      </c>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c r="AP279" s="50"/>
      <c r="AQ279" s="50"/>
      <c r="AR279" s="50"/>
      <c r="AS279" s="50"/>
      <c r="AT279" s="50"/>
      <c r="AU279" s="50"/>
      <c r="AV279" s="50"/>
      <c r="AW279" s="50"/>
      <c r="AX279" s="50"/>
      <c r="AY279" s="50"/>
      <c r="AZ279" s="50"/>
      <c r="BA279" s="50"/>
      <c r="BB279" s="50"/>
      <c r="BC279" s="50"/>
      <c r="BD279" s="50"/>
      <c r="BE279" s="50"/>
      <c r="BF279" s="50"/>
    </row>
    <row r="280" spans="1:58" s="1" customFormat="1" ht="38.25">
      <c r="A280" s="1" t="s">
        <v>1169</v>
      </c>
      <c r="B280" s="1" t="s">
        <v>1166</v>
      </c>
      <c r="C280" s="1" t="s">
        <v>1167</v>
      </c>
      <c r="D280" s="1" t="s">
        <v>1170</v>
      </c>
      <c r="E280" s="1" t="s">
        <v>13</v>
      </c>
      <c r="F280" s="2" t="s">
        <v>8</v>
      </c>
      <c r="G280" s="48">
        <v>1155</v>
      </c>
      <c r="H280" s="48">
        <f t="shared" si="4"/>
        <v>1155</v>
      </c>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c r="AR280" s="50"/>
      <c r="AS280" s="50"/>
      <c r="AT280" s="50"/>
      <c r="AU280" s="50"/>
      <c r="AV280" s="50"/>
      <c r="AW280" s="50"/>
      <c r="AX280" s="50"/>
      <c r="AY280" s="50"/>
      <c r="AZ280" s="50"/>
      <c r="BA280" s="50"/>
      <c r="BB280" s="50"/>
      <c r="BC280" s="50"/>
      <c r="BD280" s="50"/>
      <c r="BE280" s="50"/>
      <c r="BF280" s="50"/>
    </row>
    <row r="281" spans="1:58" s="1" customFormat="1" ht="38.25">
      <c r="A281" s="1" t="s">
        <v>1171</v>
      </c>
      <c r="B281" s="1" t="s">
        <v>1166</v>
      </c>
      <c r="C281" s="1" t="s">
        <v>928</v>
      </c>
      <c r="D281" s="1" t="s">
        <v>1172</v>
      </c>
      <c r="E281" s="1" t="s">
        <v>585</v>
      </c>
      <c r="F281" s="2" t="s">
        <v>821</v>
      </c>
      <c r="G281" s="48">
        <v>11.025</v>
      </c>
      <c r="H281" s="48">
        <f t="shared" si="4"/>
        <v>1323</v>
      </c>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c r="AR281" s="50"/>
      <c r="AS281" s="50"/>
      <c r="AT281" s="50"/>
      <c r="AU281" s="50"/>
      <c r="AV281" s="50"/>
      <c r="AW281" s="50"/>
      <c r="AX281" s="50"/>
      <c r="AY281" s="50"/>
      <c r="AZ281" s="50"/>
      <c r="BA281" s="50"/>
      <c r="BB281" s="50"/>
      <c r="BC281" s="50"/>
      <c r="BD281" s="50"/>
      <c r="BE281" s="50"/>
      <c r="BF281" s="50"/>
    </row>
    <row r="282" spans="1:58" s="1" customFormat="1" ht="38.25">
      <c r="A282" s="1" t="s">
        <v>1173</v>
      </c>
      <c r="B282" s="1" t="s">
        <v>1166</v>
      </c>
      <c r="C282" s="1" t="s">
        <v>928</v>
      </c>
      <c r="D282" s="1" t="s">
        <v>1174</v>
      </c>
      <c r="E282" s="1" t="s">
        <v>585</v>
      </c>
      <c r="F282" s="2" t="s">
        <v>650</v>
      </c>
      <c r="G282" s="48">
        <v>8.4</v>
      </c>
      <c r="H282" s="48">
        <f t="shared" si="4"/>
        <v>1344</v>
      </c>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c r="AS282" s="50"/>
      <c r="AT282" s="50"/>
      <c r="AU282" s="50"/>
      <c r="AV282" s="50"/>
      <c r="AW282" s="50"/>
      <c r="AX282" s="50"/>
      <c r="AY282" s="50"/>
      <c r="AZ282" s="50"/>
      <c r="BA282" s="50"/>
      <c r="BB282" s="50"/>
      <c r="BC282" s="50"/>
      <c r="BD282" s="50"/>
      <c r="BE282" s="50"/>
      <c r="BF282" s="50"/>
    </row>
    <row r="283" spans="1:58" s="1" customFormat="1" ht="38.25">
      <c r="A283" s="1" t="s">
        <v>1175</v>
      </c>
      <c r="B283" s="1" t="s">
        <v>1166</v>
      </c>
      <c r="C283" s="1" t="s">
        <v>928</v>
      </c>
      <c r="D283" s="1" t="s">
        <v>1176</v>
      </c>
      <c r="E283" s="1" t="s">
        <v>585</v>
      </c>
      <c r="F283" s="2" t="s">
        <v>650</v>
      </c>
      <c r="G283" s="48">
        <v>8.4</v>
      </c>
      <c r="H283" s="48">
        <f t="shared" si="4"/>
        <v>1344</v>
      </c>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c r="AS283" s="50"/>
      <c r="AT283" s="50"/>
      <c r="AU283" s="50"/>
      <c r="AV283" s="50"/>
      <c r="AW283" s="50"/>
      <c r="AX283" s="50"/>
      <c r="AY283" s="50"/>
      <c r="AZ283" s="50"/>
      <c r="BA283" s="50"/>
      <c r="BB283" s="50"/>
      <c r="BC283" s="50"/>
      <c r="BD283" s="50"/>
      <c r="BE283" s="50"/>
      <c r="BF283" s="50"/>
    </row>
    <row r="284" spans="1:58" s="1" customFormat="1" ht="38.25">
      <c r="A284" s="1" t="s">
        <v>1177</v>
      </c>
      <c r="B284" s="1" t="s">
        <v>1166</v>
      </c>
      <c r="C284" s="1" t="s">
        <v>1178</v>
      </c>
      <c r="D284" s="1" t="s">
        <v>1179</v>
      </c>
      <c r="E284" s="1" t="s">
        <v>585</v>
      </c>
      <c r="F284" s="2" t="s">
        <v>67</v>
      </c>
      <c r="G284" s="48">
        <v>8.4</v>
      </c>
      <c r="H284" s="48">
        <f t="shared" si="4"/>
        <v>168</v>
      </c>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c r="AV284" s="50"/>
      <c r="AW284" s="50"/>
      <c r="AX284" s="50"/>
      <c r="AY284" s="50"/>
      <c r="AZ284" s="50"/>
      <c r="BA284" s="50"/>
      <c r="BB284" s="50"/>
      <c r="BC284" s="50"/>
      <c r="BD284" s="50"/>
      <c r="BE284" s="50"/>
      <c r="BF284" s="50"/>
    </row>
    <row r="285" spans="1:58" s="1" customFormat="1" ht="38.25">
      <c r="A285" s="1" t="s">
        <v>1180</v>
      </c>
      <c r="B285" s="1" t="s">
        <v>1166</v>
      </c>
      <c r="C285" s="1" t="s">
        <v>1166</v>
      </c>
      <c r="D285" s="1" t="s">
        <v>1181</v>
      </c>
      <c r="E285" s="1" t="s">
        <v>585</v>
      </c>
      <c r="F285" s="2" t="s">
        <v>67</v>
      </c>
      <c r="G285" s="48">
        <v>9.4499999999999993</v>
      </c>
      <c r="H285" s="48">
        <f t="shared" si="4"/>
        <v>189</v>
      </c>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c r="AV285" s="50"/>
      <c r="AW285" s="50"/>
      <c r="AX285" s="50"/>
      <c r="AY285" s="50"/>
      <c r="AZ285" s="50"/>
      <c r="BA285" s="50"/>
      <c r="BB285" s="50"/>
      <c r="BC285" s="50"/>
      <c r="BD285" s="50"/>
      <c r="BE285" s="50"/>
      <c r="BF285" s="50"/>
    </row>
    <row r="286" spans="1:58" s="1" customFormat="1" ht="63.75">
      <c r="A286" s="1" t="s">
        <v>1182</v>
      </c>
      <c r="B286" s="1" t="s">
        <v>1166</v>
      </c>
      <c r="C286" s="1" t="s">
        <v>1167</v>
      </c>
      <c r="D286" s="1" t="s">
        <v>1183</v>
      </c>
      <c r="E286" s="1" t="s">
        <v>13</v>
      </c>
      <c r="F286" s="2" t="s">
        <v>8</v>
      </c>
      <c r="G286" s="48">
        <v>1050</v>
      </c>
      <c r="H286" s="48">
        <f t="shared" si="4"/>
        <v>1050</v>
      </c>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c r="AS286" s="50"/>
      <c r="AT286" s="50"/>
      <c r="AU286" s="50"/>
      <c r="AV286" s="50"/>
      <c r="AW286" s="50"/>
      <c r="AX286" s="50"/>
      <c r="AY286" s="50"/>
      <c r="AZ286" s="50"/>
      <c r="BA286" s="50"/>
      <c r="BB286" s="50"/>
      <c r="BC286" s="50"/>
      <c r="BD286" s="50"/>
      <c r="BE286" s="50"/>
      <c r="BF286" s="50"/>
    </row>
    <row r="287" spans="1:58" s="1" customFormat="1" ht="38.25">
      <c r="A287" s="1" t="s">
        <v>1184</v>
      </c>
      <c r="B287" s="1" t="s">
        <v>1185</v>
      </c>
      <c r="C287" s="1" t="s">
        <v>1186</v>
      </c>
      <c r="D287" s="1" t="s">
        <v>1187</v>
      </c>
      <c r="E287" s="1" t="s">
        <v>585</v>
      </c>
      <c r="F287" s="2" t="s">
        <v>120</v>
      </c>
      <c r="G287" s="48">
        <v>26.25</v>
      </c>
      <c r="H287" s="48">
        <f t="shared" si="4"/>
        <v>1050</v>
      </c>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c r="AR287" s="50"/>
      <c r="AS287" s="50"/>
      <c r="AT287" s="50"/>
      <c r="AU287" s="50"/>
      <c r="AV287" s="50"/>
      <c r="AW287" s="50"/>
      <c r="AX287" s="50"/>
      <c r="AY287" s="50"/>
      <c r="AZ287" s="50"/>
      <c r="BA287" s="50"/>
      <c r="BB287" s="50"/>
      <c r="BC287" s="50"/>
      <c r="BD287" s="50"/>
      <c r="BE287" s="50"/>
      <c r="BF287" s="50"/>
    </row>
    <row r="288" spans="1:58" s="1" customFormat="1" ht="38.25">
      <c r="A288" s="1" t="s">
        <v>1188</v>
      </c>
      <c r="B288" s="1" t="s">
        <v>1185</v>
      </c>
      <c r="C288" s="1" t="s">
        <v>1189</v>
      </c>
      <c r="D288" s="1" t="s">
        <v>1190</v>
      </c>
      <c r="E288" s="1" t="s">
        <v>13</v>
      </c>
      <c r="F288" s="2" t="s">
        <v>8</v>
      </c>
      <c r="G288" s="48">
        <v>1575</v>
      </c>
      <c r="H288" s="48">
        <f t="shared" si="4"/>
        <v>1575</v>
      </c>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c r="AR288" s="50"/>
      <c r="AS288" s="50"/>
      <c r="AT288" s="50"/>
      <c r="AU288" s="50"/>
      <c r="AV288" s="50"/>
      <c r="AW288" s="50"/>
      <c r="AX288" s="50"/>
      <c r="AY288" s="50"/>
      <c r="AZ288" s="50"/>
      <c r="BA288" s="50"/>
      <c r="BB288" s="50"/>
      <c r="BC288" s="50"/>
      <c r="BD288" s="50"/>
      <c r="BE288" s="50"/>
      <c r="BF288" s="50"/>
    </row>
    <row r="289" spans="1:58" s="1" customFormat="1" ht="38.25">
      <c r="A289" s="1" t="s">
        <v>1191</v>
      </c>
      <c r="B289" s="1" t="s">
        <v>1185</v>
      </c>
      <c r="C289" s="1" t="s">
        <v>1192</v>
      </c>
      <c r="D289" s="1" t="s">
        <v>1193</v>
      </c>
      <c r="E289" s="1" t="s">
        <v>13</v>
      </c>
      <c r="F289" s="2" t="s">
        <v>8</v>
      </c>
      <c r="G289" s="48">
        <v>0</v>
      </c>
      <c r="H289" s="48">
        <f t="shared" si="4"/>
        <v>0</v>
      </c>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c r="AR289" s="50"/>
      <c r="AS289" s="50"/>
      <c r="AT289" s="50"/>
      <c r="AU289" s="50"/>
      <c r="AV289" s="50"/>
      <c r="AW289" s="50"/>
      <c r="AX289" s="50"/>
      <c r="AY289" s="50"/>
      <c r="AZ289" s="50"/>
      <c r="BA289" s="50"/>
      <c r="BB289" s="50"/>
      <c r="BC289" s="50"/>
      <c r="BD289" s="50"/>
      <c r="BE289" s="50"/>
      <c r="BF289" s="50"/>
    </row>
    <row r="290" spans="1:58" s="1" customFormat="1" ht="76.5">
      <c r="A290" s="1" t="s">
        <v>1194</v>
      </c>
      <c r="B290" s="1" t="s">
        <v>1195</v>
      </c>
      <c r="C290" s="1" t="s">
        <v>577</v>
      </c>
      <c r="D290" s="1" t="s">
        <v>1196</v>
      </c>
      <c r="E290" s="1" t="s">
        <v>13</v>
      </c>
      <c r="F290" s="2" t="s">
        <v>8</v>
      </c>
      <c r="G290" s="48">
        <v>945</v>
      </c>
      <c r="H290" s="48">
        <f t="shared" si="4"/>
        <v>945</v>
      </c>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c r="AP290" s="50"/>
      <c r="AQ290" s="50"/>
      <c r="AR290" s="50"/>
      <c r="AS290" s="50"/>
      <c r="AT290" s="50"/>
      <c r="AU290" s="50"/>
      <c r="AV290" s="50"/>
      <c r="AW290" s="50"/>
      <c r="AX290" s="50"/>
      <c r="AY290" s="50"/>
      <c r="AZ290" s="50"/>
      <c r="BA290" s="50"/>
      <c r="BB290" s="50"/>
      <c r="BC290" s="50"/>
      <c r="BD290" s="50"/>
      <c r="BE290" s="50"/>
      <c r="BF290" s="50"/>
    </row>
    <row r="291" spans="1:58" s="1" customFormat="1" ht="51">
      <c r="A291" s="1" t="s">
        <v>1197</v>
      </c>
      <c r="B291" s="1" t="s">
        <v>1195</v>
      </c>
      <c r="C291" s="1" t="s">
        <v>577</v>
      </c>
      <c r="D291" s="1" t="s">
        <v>979</v>
      </c>
      <c r="E291" s="1" t="s">
        <v>13</v>
      </c>
      <c r="F291" s="2" t="s">
        <v>8</v>
      </c>
      <c r="G291" s="48">
        <v>1260</v>
      </c>
      <c r="H291" s="48">
        <f t="shared" si="4"/>
        <v>1260</v>
      </c>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c r="AP291" s="50"/>
      <c r="AQ291" s="50"/>
      <c r="AR291" s="50"/>
      <c r="AS291" s="50"/>
      <c r="AT291" s="50"/>
      <c r="AU291" s="50"/>
      <c r="AV291" s="50"/>
      <c r="AW291" s="50"/>
      <c r="AX291" s="50"/>
      <c r="AY291" s="50"/>
      <c r="AZ291" s="50"/>
      <c r="BA291" s="50"/>
      <c r="BB291" s="50"/>
      <c r="BC291" s="50"/>
      <c r="BD291" s="50"/>
      <c r="BE291" s="50"/>
      <c r="BF291" s="50"/>
    </row>
    <row r="292" spans="1:58" s="1" customFormat="1" ht="51">
      <c r="A292" s="1" t="s">
        <v>1198</v>
      </c>
      <c r="B292" s="1" t="s">
        <v>1195</v>
      </c>
      <c r="C292" s="1" t="s">
        <v>577</v>
      </c>
      <c r="D292" s="1" t="s">
        <v>1199</v>
      </c>
      <c r="E292" s="1" t="s">
        <v>13</v>
      </c>
      <c r="F292" s="2" t="s">
        <v>8</v>
      </c>
      <c r="G292" s="48">
        <v>0</v>
      </c>
      <c r="H292" s="48">
        <f t="shared" si="4"/>
        <v>0</v>
      </c>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c r="AR292" s="50"/>
      <c r="AS292" s="50"/>
      <c r="AT292" s="50"/>
      <c r="AU292" s="50"/>
      <c r="AV292" s="50"/>
      <c r="AW292" s="50"/>
      <c r="AX292" s="50"/>
      <c r="AY292" s="50"/>
      <c r="AZ292" s="50"/>
      <c r="BA292" s="50"/>
      <c r="BB292" s="50"/>
      <c r="BC292" s="50"/>
      <c r="BD292" s="50"/>
      <c r="BE292" s="50"/>
      <c r="BF292" s="50"/>
    </row>
    <row r="293" spans="1:58" s="1" customFormat="1" ht="51">
      <c r="A293" s="1" t="s">
        <v>1200</v>
      </c>
      <c r="B293" s="1" t="s">
        <v>1195</v>
      </c>
      <c r="C293" s="1" t="s">
        <v>577</v>
      </c>
      <c r="D293" s="1" t="s">
        <v>983</v>
      </c>
      <c r="E293" s="1" t="s">
        <v>13</v>
      </c>
      <c r="F293" s="2" t="s">
        <v>8</v>
      </c>
      <c r="G293" s="48">
        <v>0</v>
      </c>
      <c r="H293" s="48">
        <f t="shared" si="4"/>
        <v>0</v>
      </c>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c r="AR293" s="50"/>
      <c r="AS293" s="50"/>
      <c r="AT293" s="50"/>
      <c r="AU293" s="50"/>
      <c r="AV293" s="50"/>
      <c r="AW293" s="50"/>
      <c r="AX293" s="50"/>
      <c r="AY293" s="50"/>
      <c r="AZ293" s="50"/>
      <c r="BA293" s="50"/>
      <c r="BB293" s="50"/>
      <c r="BC293" s="50"/>
      <c r="BD293" s="50"/>
      <c r="BE293" s="50"/>
      <c r="BF293" s="50"/>
    </row>
    <row r="294" spans="1:58" s="1" customFormat="1" ht="51">
      <c r="A294" s="1" t="s">
        <v>1201</v>
      </c>
      <c r="B294" s="1" t="s">
        <v>1195</v>
      </c>
      <c r="C294" s="1" t="s">
        <v>577</v>
      </c>
      <c r="D294" s="1" t="s">
        <v>1202</v>
      </c>
      <c r="E294" s="1" t="s">
        <v>13</v>
      </c>
      <c r="F294" s="2" t="s">
        <v>8</v>
      </c>
      <c r="G294" s="48">
        <v>0</v>
      </c>
      <c r="H294" s="48">
        <f t="shared" si="4"/>
        <v>0</v>
      </c>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c r="AR294" s="50"/>
      <c r="AS294" s="50"/>
      <c r="AT294" s="50"/>
      <c r="AU294" s="50"/>
      <c r="AV294" s="50"/>
      <c r="AW294" s="50"/>
      <c r="AX294" s="50"/>
      <c r="AY294" s="50"/>
      <c r="AZ294" s="50"/>
      <c r="BA294" s="50"/>
      <c r="BB294" s="50"/>
      <c r="BC294" s="50"/>
      <c r="BD294" s="50"/>
      <c r="BE294" s="50"/>
      <c r="BF294" s="50"/>
    </row>
    <row r="295" spans="1:58" s="1" customFormat="1" ht="114.75">
      <c r="A295" s="1" t="s">
        <v>1203</v>
      </c>
      <c r="B295" s="1" t="s">
        <v>1204</v>
      </c>
      <c r="C295" s="1" t="s">
        <v>770</v>
      </c>
      <c r="D295" s="1" t="s">
        <v>557</v>
      </c>
      <c r="E295" s="1" t="s">
        <v>13</v>
      </c>
      <c r="F295" s="2" t="s">
        <v>8</v>
      </c>
      <c r="G295" s="48">
        <v>0</v>
      </c>
      <c r="H295" s="48">
        <f t="shared" si="4"/>
        <v>0</v>
      </c>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c r="AP295" s="50"/>
      <c r="AQ295" s="50"/>
      <c r="AR295" s="50"/>
      <c r="AS295" s="50"/>
      <c r="AT295" s="50"/>
      <c r="AU295" s="50"/>
      <c r="AV295" s="50"/>
      <c r="AW295" s="50"/>
      <c r="AX295" s="50"/>
      <c r="AY295" s="50"/>
      <c r="AZ295" s="50"/>
      <c r="BA295" s="50"/>
      <c r="BB295" s="50"/>
      <c r="BC295" s="50"/>
      <c r="BD295" s="50"/>
      <c r="BE295" s="50"/>
      <c r="BF295" s="50"/>
    </row>
    <row r="296" spans="1:58" s="1" customFormat="1" ht="153">
      <c r="A296" s="1" t="s">
        <v>1205</v>
      </c>
      <c r="B296" s="1" t="s">
        <v>1204</v>
      </c>
      <c r="C296" s="1" t="s">
        <v>772</v>
      </c>
      <c r="D296" s="1" t="s">
        <v>557</v>
      </c>
      <c r="E296" s="1" t="s">
        <v>13</v>
      </c>
      <c r="F296" s="2" t="s">
        <v>8</v>
      </c>
      <c r="G296" s="48">
        <v>0</v>
      </c>
      <c r="H296" s="48">
        <f t="shared" si="4"/>
        <v>0</v>
      </c>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c r="AP296" s="50"/>
      <c r="AQ296" s="50"/>
      <c r="AR296" s="50"/>
      <c r="AS296" s="50"/>
      <c r="AT296" s="50"/>
      <c r="AU296" s="50"/>
      <c r="AV296" s="50"/>
      <c r="AW296" s="50"/>
      <c r="AX296" s="50"/>
      <c r="AY296" s="50"/>
      <c r="AZ296" s="50"/>
      <c r="BA296" s="50"/>
      <c r="BB296" s="50"/>
      <c r="BC296" s="50"/>
      <c r="BD296" s="50"/>
      <c r="BE296" s="50"/>
      <c r="BF296" s="50"/>
    </row>
    <row r="297" spans="1:58" s="1" customFormat="1" ht="141" thickBot="1">
      <c r="A297" s="41" t="s">
        <v>1206</v>
      </c>
      <c r="B297" s="41" t="s">
        <v>1204</v>
      </c>
      <c r="C297" s="41" t="s">
        <v>561</v>
      </c>
      <c r="D297" s="41" t="s">
        <v>557</v>
      </c>
      <c r="E297" s="41" t="s">
        <v>13</v>
      </c>
      <c r="F297" s="42" t="s">
        <v>8</v>
      </c>
      <c r="G297" s="51">
        <v>0</v>
      </c>
      <c r="H297" s="48">
        <f t="shared" si="4"/>
        <v>0</v>
      </c>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c r="AR297" s="50"/>
      <c r="AS297" s="50"/>
      <c r="AT297" s="50"/>
      <c r="AU297" s="50"/>
      <c r="AV297" s="50"/>
      <c r="AW297" s="50"/>
      <c r="AX297" s="50"/>
      <c r="AY297" s="50"/>
      <c r="AZ297" s="50"/>
      <c r="BA297" s="50"/>
      <c r="BB297" s="50"/>
      <c r="BC297" s="50"/>
      <c r="BD297" s="50"/>
      <c r="BE297" s="50"/>
      <c r="BF297" s="50"/>
    </row>
    <row r="298" spans="1:58" ht="30" customHeight="1" thickBot="1">
      <c r="A298" s="94" t="s">
        <v>1545</v>
      </c>
      <c r="B298" s="95"/>
      <c r="C298" s="95"/>
      <c r="D298" s="95"/>
      <c r="E298" s="95"/>
      <c r="F298" s="96"/>
      <c r="G298" s="97">
        <f>SUM(H2:H297)</f>
        <v>1965370.9400000002</v>
      </c>
      <c r="H298" s="93"/>
      <c r="I298">
        <f>G298/20</f>
        <v>98268.547000000006</v>
      </c>
      <c r="J298" s="64">
        <f>I298*3</f>
        <v>294805.641</v>
      </c>
      <c r="K298" s="64" t="s">
        <v>1715</v>
      </c>
    </row>
    <row r="300" spans="1:58" ht="25.5" customHeight="1">
      <c r="G300" s="98">
        <f>G298-1965369.8</f>
        <v>1.1400000001303852</v>
      </c>
      <c r="H300" s="98"/>
    </row>
  </sheetData>
  <mergeCells count="3">
    <mergeCell ref="G298:H298"/>
    <mergeCell ref="A298:F298"/>
    <mergeCell ref="G300:H300"/>
  </mergeCells>
  <pageMargins left="0.70866141732283472" right="0.70866141732283472" top="0.74803149606299213" bottom="0.74803149606299213" header="0.31496062992125984" footer="0.31496062992125984"/>
  <pageSetup paperSize="9" orientation="landscape" r:id="rId1"/>
  <headerFooter>
    <oddHeader>&amp;L&amp;"Arial,Bold"&amp;12BILL NO 4 NEW HOUSING UNITS</oddHead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I13"/>
  <sheetViews>
    <sheetView view="pageLayout" zoomScaleNormal="130" workbookViewId="0">
      <selection activeCell="C10" sqref="C10"/>
    </sheetView>
  </sheetViews>
  <sheetFormatPr defaultRowHeight="12.75"/>
  <cols>
    <col min="2" max="2" width="15" customWidth="1"/>
    <col min="3" max="3" width="22.5703125" customWidth="1"/>
    <col min="4" max="4" width="43" customWidth="1"/>
    <col min="5" max="6" width="9.28515625" style="3"/>
    <col min="7" max="7" width="9.7109375" style="40" customWidth="1"/>
    <col min="8" max="8" width="15.7109375" style="40" customWidth="1"/>
    <col min="9" max="9" width="14.28515625" customWidth="1"/>
  </cols>
  <sheetData>
    <row r="1" spans="1:9" ht="38.25">
      <c r="A1" s="31" t="s">
        <v>0</v>
      </c>
      <c r="B1" s="31" t="s">
        <v>1</v>
      </c>
      <c r="C1" s="31" t="s">
        <v>2</v>
      </c>
      <c r="D1" s="31" t="s">
        <v>3</v>
      </c>
      <c r="E1" s="32" t="s">
        <v>4</v>
      </c>
      <c r="F1" s="32" t="s">
        <v>5</v>
      </c>
      <c r="G1" s="38" t="s">
        <v>6</v>
      </c>
      <c r="H1" s="38" t="s">
        <v>7</v>
      </c>
    </row>
    <row r="2" spans="1:9" ht="86.25" customHeight="1">
      <c r="A2" s="1" t="s">
        <v>1207</v>
      </c>
      <c r="B2" s="1" t="s">
        <v>1208</v>
      </c>
      <c r="C2" s="1" t="s">
        <v>1209</v>
      </c>
      <c r="D2" s="1" t="s">
        <v>1210</v>
      </c>
      <c r="E2" s="2" t="s">
        <v>13</v>
      </c>
      <c r="F2" s="2" t="s">
        <v>8</v>
      </c>
      <c r="G2" s="39">
        <v>0</v>
      </c>
      <c r="H2" s="39">
        <f>F2*G2</f>
        <v>0</v>
      </c>
    </row>
    <row r="3" spans="1:9" ht="63.75">
      <c r="A3" s="1" t="s">
        <v>1211</v>
      </c>
      <c r="B3" s="1" t="s">
        <v>1208</v>
      </c>
      <c r="C3" s="1" t="s">
        <v>1212</v>
      </c>
      <c r="D3" s="1" t="s">
        <v>1213</v>
      </c>
      <c r="E3" s="2" t="s">
        <v>608</v>
      </c>
      <c r="F3" s="2" t="s">
        <v>1214</v>
      </c>
      <c r="G3" s="39">
        <v>2.1</v>
      </c>
      <c r="H3" s="39">
        <f t="shared" ref="H3:H12" si="0">F3*G3</f>
        <v>3727.5</v>
      </c>
    </row>
    <row r="4" spans="1:9" ht="63.75">
      <c r="A4" s="1" t="s">
        <v>1215</v>
      </c>
      <c r="B4" s="1" t="s">
        <v>1208</v>
      </c>
      <c r="C4" s="1" t="s">
        <v>1216</v>
      </c>
      <c r="D4" s="1" t="s">
        <v>1217</v>
      </c>
      <c r="E4" s="2" t="s">
        <v>1218</v>
      </c>
      <c r="F4" s="2" t="s">
        <v>67</v>
      </c>
      <c r="G4" s="39">
        <v>105</v>
      </c>
      <c r="H4" s="39">
        <f t="shared" si="0"/>
        <v>2100</v>
      </c>
    </row>
    <row r="5" spans="1:9" ht="63.75">
      <c r="A5" s="1" t="s">
        <v>1219</v>
      </c>
      <c r="B5" s="1" t="s">
        <v>1208</v>
      </c>
      <c r="C5" s="1" t="s">
        <v>1220</v>
      </c>
      <c r="D5" s="1" t="s">
        <v>1221</v>
      </c>
      <c r="E5" s="2" t="s">
        <v>1218</v>
      </c>
      <c r="F5" s="2" t="s">
        <v>67</v>
      </c>
      <c r="G5" s="39">
        <v>141.75</v>
      </c>
      <c r="H5" s="39">
        <f t="shared" si="0"/>
        <v>2835</v>
      </c>
    </row>
    <row r="6" spans="1:9" ht="63.75">
      <c r="A6" s="1" t="s">
        <v>1222</v>
      </c>
      <c r="B6" s="1" t="s">
        <v>1208</v>
      </c>
      <c r="C6" s="1" t="s">
        <v>1223</v>
      </c>
      <c r="D6" s="1" t="s">
        <v>1224</v>
      </c>
      <c r="E6" s="2" t="s">
        <v>13</v>
      </c>
      <c r="F6" s="2" t="s">
        <v>14</v>
      </c>
      <c r="G6" s="39">
        <v>0</v>
      </c>
      <c r="H6" s="39">
        <f t="shared" si="0"/>
        <v>0</v>
      </c>
    </row>
    <row r="7" spans="1:9" ht="38.25">
      <c r="A7" s="1" t="s">
        <v>1225</v>
      </c>
      <c r="B7" s="1" t="s">
        <v>1208</v>
      </c>
      <c r="C7" s="1" t="s">
        <v>1216</v>
      </c>
      <c r="D7" s="1" t="s">
        <v>1226</v>
      </c>
      <c r="E7" s="2" t="s">
        <v>13</v>
      </c>
      <c r="F7" s="2" t="s">
        <v>8</v>
      </c>
      <c r="G7" s="39">
        <v>0</v>
      </c>
      <c r="H7" s="39">
        <f t="shared" si="0"/>
        <v>0</v>
      </c>
    </row>
    <row r="8" spans="1:9" ht="38.25">
      <c r="A8" s="1" t="s">
        <v>1227</v>
      </c>
      <c r="B8" s="1" t="s">
        <v>1208</v>
      </c>
      <c r="C8" s="1" t="s">
        <v>1220</v>
      </c>
      <c r="D8" s="1" t="s">
        <v>1228</v>
      </c>
      <c r="E8" s="2" t="s">
        <v>13</v>
      </c>
      <c r="F8" s="2" t="s">
        <v>8</v>
      </c>
      <c r="G8" s="39">
        <v>0</v>
      </c>
      <c r="H8" s="39">
        <f t="shared" si="0"/>
        <v>0</v>
      </c>
    </row>
    <row r="9" spans="1:9" ht="38.25">
      <c r="A9" s="1" t="s">
        <v>1229</v>
      </c>
      <c r="B9" s="1" t="s">
        <v>1208</v>
      </c>
      <c r="C9" s="1" t="s">
        <v>1230</v>
      </c>
      <c r="D9" s="1" t="s">
        <v>1231</v>
      </c>
      <c r="E9" s="2" t="s">
        <v>585</v>
      </c>
      <c r="F9" s="2" t="s">
        <v>297</v>
      </c>
      <c r="G9" s="39">
        <v>5.25</v>
      </c>
      <c r="H9" s="39">
        <f t="shared" si="0"/>
        <v>525</v>
      </c>
    </row>
    <row r="10" spans="1:9" ht="38.25">
      <c r="A10" s="1" t="s">
        <v>1232</v>
      </c>
      <c r="B10" s="1" t="s">
        <v>1208</v>
      </c>
      <c r="C10" s="1" t="s">
        <v>1233</v>
      </c>
      <c r="D10" s="1" t="s">
        <v>1234</v>
      </c>
      <c r="E10" s="2" t="s">
        <v>516</v>
      </c>
      <c r="F10" s="2" t="s">
        <v>1235</v>
      </c>
      <c r="G10" s="39">
        <v>1.05</v>
      </c>
      <c r="H10" s="39">
        <f t="shared" si="0"/>
        <v>14227.5</v>
      </c>
    </row>
    <row r="11" spans="1:9" ht="38.25">
      <c r="A11" s="1" t="s">
        <v>1236</v>
      </c>
      <c r="B11" s="1" t="s">
        <v>1208</v>
      </c>
      <c r="C11" s="1" t="s">
        <v>1237</v>
      </c>
      <c r="D11" s="1" t="s">
        <v>1234</v>
      </c>
      <c r="E11" s="2" t="s">
        <v>608</v>
      </c>
      <c r="F11" s="2" t="s">
        <v>566</v>
      </c>
      <c r="G11" s="39">
        <v>2.1</v>
      </c>
      <c r="H11" s="39">
        <f t="shared" si="0"/>
        <v>2940</v>
      </c>
    </row>
    <row r="12" spans="1:9" ht="51.75" thickBot="1">
      <c r="A12" s="41" t="s">
        <v>1238</v>
      </c>
      <c r="B12" s="41" t="s">
        <v>1208</v>
      </c>
      <c r="C12" s="41" t="s">
        <v>1239</v>
      </c>
      <c r="D12" s="41" t="s">
        <v>1240</v>
      </c>
      <c r="E12" s="42" t="s">
        <v>1218</v>
      </c>
      <c r="F12" s="42" t="s">
        <v>67</v>
      </c>
      <c r="G12" s="43">
        <v>105</v>
      </c>
      <c r="H12" s="39">
        <f t="shared" si="0"/>
        <v>2100</v>
      </c>
      <c r="I12" t="s">
        <v>1549</v>
      </c>
    </row>
    <row r="13" spans="1:9" ht="30" customHeight="1" thickBot="1">
      <c r="A13" s="94" t="s">
        <v>1546</v>
      </c>
      <c r="B13" s="95"/>
      <c r="C13" s="95"/>
      <c r="D13" s="95"/>
      <c r="E13" s="95"/>
      <c r="F13" s="96"/>
      <c r="G13" s="99">
        <f>SUM(H2:H12)</f>
        <v>28455</v>
      </c>
      <c r="H13" s="100"/>
      <c r="I13" s="46">
        <f>G13+'06 Storm Water'!G44</f>
        <v>28455</v>
      </c>
    </row>
  </sheetData>
  <mergeCells count="2">
    <mergeCell ref="G13:H13"/>
    <mergeCell ref="A13:F13"/>
  </mergeCells>
  <pageMargins left="0.70866141732283472" right="0.70866141732283472" top="0.74803149606299213" bottom="0.74803149606299213" header="0.31496062992125984" footer="0.31496062992125984"/>
  <pageSetup paperSize="9" orientation="landscape" r:id="rId1"/>
  <headerFooter>
    <oddHeader>&amp;L&amp;"Arial,Bold"BILL NO 05 EXTERNAL WORKS AND EXTERNAL SERVICES</oddHead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AB95"/>
  <sheetViews>
    <sheetView zoomScale="104" zoomScaleNormal="115" zoomScaleSheetLayoutView="100" zoomScalePageLayoutView="85" workbookViewId="0">
      <pane ySplit="1" topLeftCell="A31" activePane="bottomLeft" state="frozen"/>
      <selection activeCell="C1" sqref="C1"/>
      <selection pane="bottomLeft" activeCell="D87" sqref="D87"/>
    </sheetView>
  </sheetViews>
  <sheetFormatPr defaultRowHeight="12.75"/>
  <cols>
    <col min="1" max="1" width="5.7109375" customWidth="1"/>
    <col min="2" max="2" width="18.7109375" customWidth="1"/>
    <col min="3" max="3" width="43.28515625" customWidth="1"/>
    <col min="4" max="4" width="50.28515625" customWidth="1"/>
    <col min="5" max="5" width="7.7109375" style="3" customWidth="1"/>
    <col min="6" max="6" width="8.85546875" style="3" customWidth="1"/>
    <col min="7" max="7" width="9.7109375" style="45" customWidth="1"/>
    <col min="8" max="8" width="16.28515625" style="40" customWidth="1"/>
    <col min="9" max="9" width="10.28515625" style="40" hidden="1" customWidth="1"/>
    <col min="10" max="10" width="8.7109375" style="40" hidden="1" customWidth="1"/>
    <col min="11" max="11" width="5.7109375" hidden="1" customWidth="1"/>
    <col min="12" max="12" width="6.28515625" hidden="1" customWidth="1"/>
    <col min="13" max="13" width="7.140625" hidden="1" customWidth="1"/>
    <col min="14" max="14" width="8.85546875" hidden="1" customWidth="1"/>
    <col min="15" max="15" width="6.7109375" hidden="1" customWidth="1"/>
    <col min="16" max="16" width="9" hidden="1" customWidth="1"/>
    <col min="17" max="17" width="7.28515625" hidden="1" customWidth="1"/>
    <col min="18" max="19" width="8.5703125" hidden="1" customWidth="1"/>
    <col min="20" max="21" width="6.28515625" hidden="1" customWidth="1"/>
    <col min="22" max="22" width="7.85546875" hidden="1" customWidth="1"/>
    <col min="23" max="26" width="8.7109375" hidden="1" customWidth="1"/>
    <col min="27" max="27" width="11.140625" bestFit="1" customWidth="1"/>
  </cols>
  <sheetData>
    <row r="1" spans="1:28" ht="38.25">
      <c r="A1" s="31" t="s">
        <v>0</v>
      </c>
      <c r="B1" s="31" t="s">
        <v>1</v>
      </c>
      <c r="C1" s="31" t="s">
        <v>2</v>
      </c>
      <c r="D1" s="31" t="s">
        <v>3</v>
      </c>
      <c r="E1" s="32" t="s">
        <v>4</v>
      </c>
      <c r="F1" s="32" t="s">
        <v>5</v>
      </c>
      <c r="G1" s="38" t="s">
        <v>6</v>
      </c>
      <c r="H1" s="78" t="s">
        <v>7</v>
      </c>
      <c r="I1" s="2" t="s">
        <v>1731</v>
      </c>
      <c r="J1" s="2" t="s">
        <v>1732</v>
      </c>
      <c r="K1" s="80" t="s">
        <v>1717</v>
      </c>
      <c r="L1" s="80" t="s">
        <v>1718</v>
      </c>
      <c r="M1" s="80" t="s">
        <v>1723</v>
      </c>
      <c r="N1" s="80" t="s">
        <v>1724</v>
      </c>
      <c r="O1" s="80" t="s">
        <v>1730</v>
      </c>
      <c r="P1" s="80" t="s">
        <v>1725</v>
      </c>
      <c r="Q1" s="80" t="s">
        <v>1720</v>
      </c>
      <c r="R1" s="80" t="s">
        <v>1721</v>
      </c>
      <c r="S1" s="80" t="s">
        <v>1722</v>
      </c>
      <c r="T1" s="80" t="s">
        <v>1726</v>
      </c>
      <c r="U1" s="80" t="s">
        <v>1727</v>
      </c>
      <c r="V1" s="80" t="s">
        <v>1728</v>
      </c>
      <c r="W1" s="80" t="s">
        <v>1729</v>
      </c>
      <c r="X1" s="80" t="s">
        <v>1733</v>
      </c>
      <c r="Y1" s="80" t="s">
        <v>1736</v>
      </c>
      <c r="Z1" s="80" t="s">
        <v>1737</v>
      </c>
    </row>
    <row r="2" spans="1:28" ht="76.5">
      <c r="A2" s="1" t="s">
        <v>1241</v>
      </c>
      <c r="B2" s="1" t="s">
        <v>1242</v>
      </c>
      <c r="C2" s="1" t="s">
        <v>494</v>
      </c>
      <c r="D2" s="1" t="s">
        <v>1243</v>
      </c>
      <c r="E2" s="2" t="s">
        <v>13</v>
      </c>
      <c r="F2" s="2">
        <v>29</v>
      </c>
      <c r="G2" s="39">
        <v>304.5</v>
      </c>
      <c r="H2" s="79">
        <f>F2*G2</f>
        <v>8830.5</v>
      </c>
      <c r="I2" s="39" t="s">
        <v>1719</v>
      </c>
      <c r="J2" s="39"/>
      <c r="K2" s="80"/>
      <c r="L2" s="80"/>
      <c r="M2" s="80"/>
      <c r="N2" s="80"/>
      <c r="O2" s="80"/>
      <c r="P2" s="80"/>
      <c r="Q2" s="80"/>
      <c r="R2" s="80"/>
      <c r="S2" s="80"/>
      <c r="T2" s="80"/>
      <c r="U2" s="80"/>
      <c r="V2" s="80"/>
      <c r="W2" s="80"/>
      <c r="X2" s="80"/>
      <c r="Y2" s="80"/>
      <c r="Z2" s="80"/>
      <c r="AA2" s="46">
        <f>SUM(H2:H9)</f>
        <v>119059.5</v>
      </c>
      <c r="AB2" t="s">
        <v>1757</v>
      </c>
    </row>
    <row r="3" spans="1:28" ht="73.900000000000006" customHeight="1">
      <c r="A3" s="1" t="s">
        <v>1244</v>
      </c>
      <c r="B3" s="1" t="s">
        <v>1242</v>
      </c>
      <c r="C3" s="1" t="s">
        <v>1245</v>
      </c>
      <c r="D3" s="1" t="s">
        <v>1246</v>
      </c>
      <c r="E3" s="2" t="s">
        <v>13</v>
      </c>
      <c r="F3" s="2">
        <v>29</v>
      </c>
      <c r="G3" s="39">
        <v>514.5</v>
      </c>
      <c r="H3" s="79">
        <f t="shared" ref="H3:H66" si="0">F3*G3</f>
        <v>14920.5</v>
      </c>
      <c r="I3" s="39" t="s">
        <v>1719</v>
      </c>
      <c r="J3" s="39"/>
      <c r="K3" s="80"/>
      <c r="L3" s="80"/>
      <c r="M3" s="80"/>
      <c r="N3" s="80" t="s">
        <v>1719</v>
      </c>
      <c r="O3" s="80"/>
      <c r="P3" s="80"/>
      <c r="Q3" s="80"/>
      <c r="R3" s="80"/>
      <c r="S3" s="80"/>
      <c r="T3" s="80"/>
      <c r="U3" s="80"/>
      <c r="V3" s="80"/>
      <c r="W3" s="80"/>
      <c r="X3" s="80"/>
      <c r="Y3" s="80"/>
      <c r="Z3" s="80"/>
      <c r="AA3" s="46">
        <f>SUM(H2:H18)</f>
        <v>452152.05</v>
      </c>
      <c r="AB3" t="s">
        <v>1763</v>
      </c>
    </row>
    <row r="4" spans="1:28" ht="165.75">
      <c r="A4" s="1" t="s">
        <v>1247</v>
      </c>
      <c r="B4" s="1" t="s">
        <v>1242</v>
      </c>
      <c r="C4" s="1" t="s">
        <v>1248</v>
      </c>
      <c r="D4" s="1" t="s">
        <v>1249</v>
      </c>
      <c r="E4" s="2" t="s">
        <v>13</v>
      </c>
      <c r="F4" s="2">
        <v>29</v>
      </c>
      <c r="G4" s="39">
        <v>619.5</v>
      </c>
      <c r="H4" s="79">
        <f t="shared" si="0"/>
        <v>17965.5</v>
      </c>
      <c r="I4" s="39" t="s">
        <v>1719</v>
      </c>
      <c r="J4" s="39" t="s">
        <v>1719</v>
      </c>
      <c r="K4" s="80"/>
      <c r="L4" s="80" t="s">
        <v>1719</v>
      </c>
      <c r="M4" s="80"/>
      <c r="N4" s="80"/>
      <c r="O4" s="80"/>
      <c r="P4" s="80"/>
      <c r="Q4" s="80" t="s">
        <v>1719</v>
      </c>
      <c r="R4" s="80"/>
      <c r="S4" s="80"/>
      <c r="T4" s="80"/>
      <c r="U4" s="80"/>
      <c r="V4" s="80"/>
      <c r="W4" s="80"/>
      <c r="X4" s="80"/>
      <c r="Y4" s="80"/>
      <c r="Z4" s="80"/>
    </row>
    <row r="5" spans="1:28" ht="165.75">
      <c r="A5" s="1" t="s">
        <v>1250</v>
      </c>
      <c r="B5" s="1" t="s">
        <v>1242</v>
      </c>
      <c r="C5" s="1" t="s">
        <v>1251</v>
      </c>
      <c r="D5" s="1" t="s">
        <v>1252</v>
      </c>
      <c r="E5" s="2" t="s">
        <v>13</v>
      </c>
      <c r="F5" s="2">
        <v>29</v>
      </c>
      <c r="G5" s="39">
        <v>619.5</v>
      </c>
      <c r="H5" s="79">
        <f t="shared" si="0"/>
        <v>17965.5</v>
      </c>
      <c r="I5" s="39" t="s">
        <v>1719</v>
      </c>
      <c r="J5" s="39"/>
      <c r="K5" s="80"/>
      <c r="L5" s="80" t="s">
        <v>1719</v>
      </c>
      <c r="M5" s="80"/>
      <c r="N5" s="80"/>
      <c r="O5" s="80" t="s">
        <v>1719</v>
      </c>
      <c r="P5" s="80"/>
      <c r="Q5" s="80"/>
      <c r="R5" s="80"/>
      <c r="S5" s="80"/>
      <c r="T5" s="80"/>
      <c r="U5" s="80"/>
      <c r="V5" s="80"/>
      <c r="W5" s="80"/>
      <c r="X5" s="80"/>
      <c r="Y5" s="80"/>
      <c r="Z5" s="80"/>
    </row>
    <row r="6" spans="1:28" ht="38.25">
      <c r="A6" s="1" t="s">
        <v>1253</v>
      </c>
      <c r="B6" s="1" t="s">
        <v>1242</v>
      </c>
      <c r="C6" s="1" t="s">
        <v>1254</v>
      </c>
      <c r="D6" s="1" t="s">
        <v>1255</v>
      </c>
      <c r="E6" s="2" t="s">
        <v>13</v>
      </c>
      <c r="F6" s="2">
        <v>29</v>
      </c>
      <c r="G6" s="39">
        <v>724.5</v>
      </c>
      <c r="H6" s="79">
        <f t="shared" si="0"/>
        <v>21010.5</v>
      </c>
      <c r="I6" s="39"/>
      <c r="J6" s="39"/>
      <c r="K6" s="80"/>
      <c r="L6" s="80"/>
      <c r="M6" s="80"/>
      <c r="N6" s="80"/>
      <c r="O6" s="80"/>
      <c r="P6" s="80"/>
      <c r="Q6" s="80"/>
      <c r="R6" s="80"/>
      <c r="S6" s="80"/>
      <c r="T6" s="80"/>
      <c r="U6" s="80"/>
      <c r="V6" s="80"/>
      <c r="W6" s="80"/>
      <c r="X6" s="80"/>
      <c r="Y6" s="80"/>
      <c r="Z6" s="80"/>
    </row>
    <row r="7" spans="1:28" ht="63.75">
      <c r="A7" s="1" t="s">
        <v>1256</v>
      </c>
      <c r="B7" s="1" t="s">
        <v>1242</v>
      </c>
      <c r="C7" s="1" t="s">
        <v>1257</v>
      </c>
      <c r="D7" s="1" t="s">
        <v>1258</v>
      </c>
      <c r="E7" s="2" t="s">
        <v>13</v>
      </c>
      <c r="F7" s="2">
        <v>29</v>
      </c>
      <c r="G7" s="39">
        <v>829.5</v>
      </c>
      <c r="H7" s="79">
        <f t="shared" si="0"/>
        <v>24055.5</v>
      </c>
      <c r="I7" s="39"/>
      <c r="J7" s="39"/>
      <c r="K7" s="80" t="s">
        <v>1719</v>
      </c>
      <c r="L7" s="80"/>
      <c r="M7" s="80"/>
      <c r="N7" s="80"/>
      <c r="O7" s="80"/>
      <c r="P7" s="80"/>
      <c r="Q7" s="80"/>
      <c r="R7" s="80"/>
      <c r="S7" s="80"/>
      <c r="T7" s="80"/>
      <c r="U7" s="80"/>
      <c r="V7" s="80"/>
      <c r="W7" s="80"/>
      <c r="X7" s="80"/>
      <c r="Y7" s="80"/>
      <c r="Z7" s="80"/>
    </row>
    <row r="8" spans="1:28" ht="25.5">
      <c r="A8" s="1" t="s">
        <v>1259</v>
      </c>
      <c r="B8" s="1" t="s">
        <v>1242</v>
      </c>
      <c r="C8" s="1" t="s">
        <v>1260</v>
      </c>
      <c r="D8" s="1" t="s">
        <v>1261</v>
      </c>
      <c r="E8" s="2" t="s">
        <v>13</v>
      </c>
      <c r="F8" s="2">
        <v>29</v>
      </c>
      <c r="G8" s="39">
        <v>252</v>
      </c>
      <c r="H8" s="79">
        <f t="shared" si="0"/>
        <v>7308</v>
      </c>
      <c r="I8" s="39"/>
      <c r="J8" s="39"/>
      <c r="K8" s="80"/>
      <c r="L8" s="80"/>
      <c r="M8" s="80"/>
      <c r="N8" s="80"/>
      <c r="O8" s="80"/>
      <c r="P8" s="80"/>
      <c r="Q8" s="80" t="s">
        <v>1719</v>
      </c>
      <c r="R8" s="80"/>
      <c r="S8" s="80"/>
      <c r="T8" s="80"/>
      <c r="U8" s="80"/>
      <c r="V8" s="80"/>
      <c r="W8" s="80"/>
      <c r="X8" s="80"/>
      <c r="Y8" s="80"/>
      <c r="Z8" s="80"/>
    </row>
    <row r="9" spans="1:28" ht="63.75">
      <c r="A9" s="1" t="s">
        <v>1262</v>
      </c>
      <c r="B9" s="1" t="s">
        <v>1242</v>
      </c>
      <c r="C9" s="1" t="s">
        <v>1263</v>
      </c>
      <c r="D9" s="1" t="s">
        <v>1264</v>
      </c>
      <c r="E9" s="2" t="s">
        <v>13</v>
      </c>
      <c r="F9" s="2">
        <v>29</v>
      </c>
      <c r="G9" s="39">
        <v>241.5</v>
      </c>
      <c r="H9" s="79">
        <f t="shared" si="0"/>
        <v>7003.5</v>
      </c>
      <c r="I9" s="39"/>
      <c r="J9" s="39"/>
      <c r="K9" s="80"/>
      <c r="L9" s="80" t="s">
        <v>1719</v>
      </c>
      <c r="M9" s="80"/>
      <c r="N9" s="80"/>
      <c r="O9" s="80"/>
      <c r="P9" s="80"/>
      <c r="Q9" s="80"/>
      <c r="R9" s="80"/>
      <c r="S9" s="80"/>
      <c r="T9" s="80"/>
      <c r="U9" s="80"/>
      <c r="V9" s="80"/>
      <c r="W9" s="80"/>
      <c r="X9" s="80"/>
      <c r="Y9" s="80"/>
      <c r="Z9" s="80"/>
    </row>
    <row r="10" spans="1:28" ht="140.25">
      <c r="A10" s="1" t="s">
        <v>487</v>
      </c>
      <c r="B10" s="1" t="s">
        <v>1265</v>
      </c>
      <c r="C10" s="1" t="s">
        <v>1266</v>
      </c>
      <c r="D10" s="1" t="s">
        <v>1267</v>
      </c>
      <c r="E10" s="2" t="s">
        <v>13</v>
      </c>
      <c r="F10" s="2">
        <v>29</v>
      </c>
      <c r="G10" s="39">
        <v>262.5</v>
      </c>
      <c r="H10" s="79">
        <f t="shared" si="0"/>
        <v>7612.5</v>
      </c>
      <c r="I10" s="39" t="s">
        <v>1719</v>
      </c>
      <c r="J10" s="39" t="s">
        <v>1719</v>
      </c>
      <c r="K10" s="80"/>
      <c r="L10" s="80" t="s">
        <v>1719</v>
      </c>
      <c r="M10" s="80"/>
      <c r="N10" s="80"/>
      <c r="O10" s="80" t="s">
        <v>1719</v>
      </c>
      <c r="P10" s="80" t="s">
        <v>1719</v>
      </c>
      <c r="Q10" s="80"/>
      <c r="R10" s="80" t="s">
        <v>1719</v>
      </c>
      <c r="S10" s="80" t="s">
        <v>1719</v>
      </c>
      <c r="T10" s="80"/>
      <c r="U10" s="80"/>
      <c r="V10" s="80"/>
      <c r="W10" s="80"/>
      <c r="X10" s="80"/>
      <c r="Y10" s="80"/>
      <c r="Z10" s="80"/>
    </row>
    <row r="11" spans="1:28" ht="63.75">
      <c r="A11" s="1" t="s">
        <v>492</v>
      </c>
      <c r="B11" s="1" t="s">
        <v>1269</v>
      </c>
      <c r="C11" s="1" t="s">
        <v>1270</v>
      </c>
      <c r="D11" s="1" t="s">
        <v>1271</v>
      </c>
      <c r="E11" s="2" t="s">
        <v>13</v>
      </c>
      <c r="F11" s="2">
        <v>29</v>
      </c>
      <c r="G11" s="39">
        <v>1995</v>
      </c>
      <c r="H11" s="79">
        <f t="shared" si="0"/>
        <v>57855</v>
      </c>
      <c r="I11" s="39" t="s">
        <v>1719</v>
      </c>
      <c r="J11" s="39"/>
      <c r="K11" s="80"/>
      <c r="L11" s="80"/>
      <c r="M11" s="80"/>
      <c r="N11" s="80"/>
      <c r="O11" s="80"/>
      <c r="P11" s="80"/>
      <c r="Q11" s="80"/>
      <c r="R11" s="80"/>
      <c r="S11" s="80"/>
      <c r="T11" s="80"/>
      <c r="U11" s="80"/>
      <c r="V11" s="80"/>
      <c r="W11" s="80"/>
      <c r="X11" s="80"/>
      <c r="Y11" s="80"/>
      <c r="Z11" s="80"/>
    </row>
    <row r="12" spans="1:28" ht="140.25">
      <c r="A12" s="1" t="s">
        <v>496</v>
      </c>
      <c r="B12" s="1" t="s">
        <v>1269</v>
      </c>
      <c r="C12" s="1" t="s">
        <v>1272</v>
      </c>
      <c r="D12" s="1" t="s">
        <v>1273</v>
      </c>
      <c r="E12" s="2" t="s">
        <v>13</v>
      </c>
      <c r="F12" s="2">
        <v>29</v>
      </c>
      <c r="G12" s="39">
        <v>3150</v>
      </c>
      <c r="H12" s="79">
        <f t="shared" si="0"/>
        <v>91350</v>
      </c>
      <c r="I12" s="39"/>
      <c r="J12" s="39" t="s">
        <v>1719</v>
      </c>
      <c r="K12" s="80"/>
      <c r="L12" s="80" t="s">
        <v>1719</v>
      </c>
      <c r="M12" s="80"/>
      <c r="N12" s="80"/>
      <c r="O12" s="80"/>
      <c r="P12" s="80"/>
      <c r="Q12" s="80"/>
      <c r="R12" s="80"/>
      <c r="S12" s="80"/>
      <c r="T12" s="80"/>
      <c r="U12" s="80"/>
      <c r="V12" s="80"/>
      <c r="W12" s="80"/>
      <c r="X12" s="80"/>
      <c r="Y12" s="80"/>
      <c r="Z12" s="80"/>
    </row>
    <row r="13" spans="1:28" ht="38.25">
      <c r="A13" s="1" t="s">
        <v>501</v>
      </c>
      <c r="B13" s="1" t="s">
        <v>1269</v>
      </c>
      <c r="C13" s="1" t="s">
        <v>606</v>
      </c>
      <c r="D13" s="1" t="s">
        <v>1274</v>
      </c>
      <c r="E13" s="2" t="s">
        <v>13</v>
      </c>
      <c r="F13" s="2">
        <v>29</v>
      </c>
      <c r="G13" s="39">
        <v>1890</v>
      </c>
      <c r="H13" s="79">
        <f t="shared" si="0"/>
        <v>54810</v>
      </c>
      <c r="I13" s="39"/>
      <c r="J13" s="39" t="s">
        <v>1719</v>
      </c>
      <c r="K13" s="80"/>
      <c r="L13" s="80" t="s">
        <v>1719</v>
      </c>
      <c r="M13" s="80"/>
      <c r="N13" s="80"/>
      <c r="O13" s="80"/>
      <c r="P13" s="80"/>
      <c r="Q13" s="80"/>
      <c r="R13" s="80"/>
      <c r="S13" s="80"/>
      <c r="T13" s="80"/>
      <c r="U13" s="80"/>
      <c r="V13" s="80"/>
      <c r="W13" s="80"/>
      <c r="X13" s="80"/>
      <c r="Y13" s="80"/>
      <c r="Z13" s="80"/>
    </row>
    <row r="14" spans="1:28" ht="51">
      <c r="A14" s="1" t="s">
        <v>505</v>
      </c>
      <c r="B14" s="1" t="s">
        <v>1269</v>
      </c>
      <c r="C14" s="1" t="s">
        <v>1275</v>
      </c>
      <c r="D14" s="1" t="s">
        <v>612</v>
      </c>
      <c r="E14" s="2" t="s">
        <v>13</v>
      </c>
      <c r="F14" s="2">
        <v>29</v>
      </c>
      <c r="G14" s="39">
        <v>514.5</v>
      </c>
      <c r="H14" s="79">
        <f t="shared" si="0"/>
        <v>14920.5</v>
      </c>
      <c r="I14" s="39"/>
      <c r="J14" s="39"/>
      <c r="K14" s="80"/>
      <c r="L14" s="80"/>
      <c r="M14" s="80"/>
      <c r="N14" s="80"/>
      <c r="O14" s="80"/>
      <c r="P14" s="80"/>
      <c r="Q14" s="80"/>
      <c r="R14" s="80"/>
      <c r="S14" s="80"/>
      <c r="T14" s="80"/>
      <c r="U14" s="80"/>
      <c r="V14" s="80"/>
      <c r="W14" s="80"/>
      <c r="X14" s="80"/>
      <c r="Y14" s="80"/>
      <c r="Z14" s="80"/>
    </row>
    <row r="15" spans="1:28" ht="51">
      <c r="A15" s="1" t="s">
        <v>507</v>
      </c>
      <c r="B15" s="1" t="s">
        <v>1269</v>
      </c>
      <c r="C15" s="1" t="s">
        <v>614</v>
      </c>
      <c r="D15" s="1" t="s">
        <v>1276</v>
      </c>
      <c r="E15" s="2" t="s">
        <v>13</v>
      </c>
      <c r="F15" s="2">
        <v>29</v>
      </c>
      <c r="G15" s="39">
        <v>1995</v>
      </c>
      <c r="H15" s="79">
        <f t="shared" si="0"/>
        <v>57855</v>
      </c>
      <c r="I15" s="39"/>
      <c r="J15" s="39"/>
      <c r="K15" s="80"/>
      <c r="L15" s="80"/>
      <c r="M15" s="80" t="s">
        <v>1719</v>
      </c>
      <c r="N15" s="80"/>
      <c r="O15" s="80"/>
      <c r="P15" s="80"/>
      <c r="Q15" s="80"/>
      <c r="R15" s="80"/>
      <c r="S15" s="80"/>
      <c r="T15" s="80"/>
      <c r="U15" s="80"/>
      <c r="V15" s="80"/>
      <c r="W15" s="80"/>
      <c r="X15" s="80"/>
      <c r="Y15" s="80"/>
      <c r="Z15" s="80"/>
    </row>
    <row r="16" spans="1:28" ht="38.25">
      <c r="A16" s="1" t="s">
        <v>510</v>
      </c>
      <c r="B16" s="1" t="s">
        <v>1269</v>
      </c>
      <c r="C16" s="1" t="s">
        <v>614</v>
      </c>
      <c r="D16" s="1" t="s">
        <v>1277</v>
      </c>
      <c r="E16" s="2" t="s">
        <v>13</v>
      </c>
      <c r="F16" s="2">
        <v>29</v>
      </c>
      <c r="G16" s="39">
        <v>892.5</v>
      </c>
      <c r="H16" s="79">
        <f t="shared" si="0"/>
        <v>25882.5</v>
      </c>
      <c r="I16" s="39"/>
      <c r="J16" s="39"/>
      <c r="K16" s="80"/>
      <c r="L16" s="80"/>
      <c r="M16" s="80" t="s">
        <v>1719</v>
      </c>
      <c r="N16" s="80"/>
      <c r="O16" s="80"/>
      <c r="P16" s="80"/>
      <c r="Q16" s="80"/>
      <c r="R16" s="80"/>
      <c r="S16" s="80"/>
      <c r="T16" s="80"/>
      <c r="U16" s="80"/>
      <c r="V16" s="80"/>
      <c r="W16" s="80"/>
      <c r="X16" s="80"/>
      <c r="Y16" s="80"/>
      <c r="Z16" s="80"/>
      <c r="AA16" s="46">
        <f>H16+H13</f>
        <v>80692.5</v>
      </c>
    </row>
    <row r="17" spans="1:28" ht="38.25">
      <c r="A17" s="1" t="s">
        <v>513</v>
      </c>
      <c r="B17" s="1" t="s">
        <v>1269</v>
      </c>
      <c r="C17" s="1" t="s">
        <v>619</v>
      </c>
      <c r="D17" s="1" t="s">
        <v>1278</v>
      </c>
      <c r="E17" s="2" t="s">
        <v>13</v>
      </c>
      <c r="F17" s="2">
        <v>29</v>
      </c>
      <c r="G17" s="39">
        <v>481.95</v>
      </c>
      <c r="H17" s="79">
        <f t="shared" si="0"/>
        <v>13976.55</v>
      </c>
      <c r="I17" s="39"/>
      <c r="J17" s="39"/>
      <c r="K17" s="80"/>
      <c r="L17" s="80"/>
      <c r="M17" s="80" t="s">
        <v>1719</v>
      </c>
      <c r="N17" s="80"/>
      <c r="O17" s="80"/>
      <c r="P17" s="80"/>
      <c r="Q17" s="80" t="s">
        <v>1719</v>
      </c>
      <c r="R17" s="80"/>
      <c r="S17" s="80"/>
      <c r="T17" s="80"/>
      <c r="U17" s="80"/>
      <c r="V17" s="80"/>
      <c r="W17" s="80"/>
      <c r="X17" s="80"/>
      <c r="Y17" s="80"/>
      <c r="Z17" s="80"/>
    </row>
    <row r="18" spans="1:28" ht="38.25">
      <c r="A18" s="1" t="s">
        <v>518</v>
      </c>
      <c r="B18" s="1" t="s">
        <v>1269</v>
      </c>
      <c r="C18" s="1" t="s">
        <v>619</v>
      </c>
      <c r="D18" s="1" t="s">
        <v>1279</v>
      </c>
      <c r="E18" s="2" t="s">
        <v>13</v>
      </c>
      <c r="F18" s="2">
        <v>29</v>
      </c>
      <c r="G18" s="39">
        <v>304.5</v>
      </c>
      <c r="H18" s="79">
        <f t="shared" si="0"/>
        <v>8830.5</v>
      </c>
      <c r="I18" s="39"/>
      <c r="J18" s="39"/>
      <c r="K18" s="80"/>
      <c r="L18" s="80"/>
      <c r="M18" s="80" t="s">
        <v>1719</v>
      </c>
      <c r="N18" s="80"/>
      <c r="O18" s="80"/>
      <c r="P18" s="80"/>
      <c r="Q18" s="80"/>
      <c r="R18" s="80"/>
      <c r="S18" s="80"/>
      <c r="T18" s="80"/>
      <c r="U18" s="80"/>
      <c r="V18" s="80"/>
      <c r="W18" s="80"/>
      <c r="X18" s="80"/>
      <c r="Y18" s="80"/>
      <c r="Z18" s="80"/>
    </row>
    <row r="19" spans="1:28" ht="38.25">
      <c r="A19" s="1" t="s">
        <v>522</v>
      </c>
      <c r="B19" s="1" t="s">
        <v>624</v>
      </c>
      <c r="C19" s="1" t="s">
        <v>1280</v>
      </c>
      <c r="D19" s="1" t="s">
        <v>1281</v>
      </c>
      <c r="E19" s="2" t="s">
        <v>13</v>
      </c>
      <c r="F19" s="2">
        <v>29</v>
      </c>
      <c r="G19" s="39">
        <v>1575</v>
      </c>
      <c r="H19" s="79">
        <f t="shared" si="0"/>
        <v>45675</v>
      </c>
      <c r="I19" s="39" t="s">
        <v>1719</v>
      </c>
      <c r="J19" s="39"/>
      <c r="K19" s="80"/>
      <c r="L19" s="80"/>
      <c r="M19" s="80"/>
      <c r="N19" s="80"/>
      <c r="O19" s="80"/>
      <c r="P19" s="80"/>
      <c r="Q19" s="80"/>
      <c r="R19" s="80"/>
      <c r="S19" s="80"/>
      <c r="T19" s="80"/>
      <c r="U19" s="80"/>
      <c r="V19" s="80"/>
      <c r="W19" s="80"/>
      <c r="X19" s="80" t="s">
        <v>1719</v>
      </c>
      <c r="Y19" s="80"/>
      <c r="Z19" s="80"/>
      <c r="AA19" s="46">
        <f>H19+H20</f>
        <v>53287.5</v>
      </c>
    </row>
    <row r="20" spans="1:28" ht="38.25">
      <c r="A20" s="1" t="s">
        <v>526</v>
      </c>
      <c r="B20" s="1" t="s">
        <v>624</v>
      </c>
      <c r="C20" s="1" t="s">
        <v>1282</v>
      </c>
      <c r="D20" s="1" t="s">
        <v>1283</v>
      </c>
      <c r="E20" s="2" t="s">
        <v>13</v>
      </c>
      <c r="F20" s="2">
        <v>29</v>
      </c>
      <c r="G20" s="39">
        <v>262.5</v>
      </c>
      <c r="H20" s="79">
        <f t="shared" si="0"/>
        <v>7612.5</v>
      </c>
      <c r="I20" s="39"/>
      <c r="J20" s="39"/>
      <c r="K20" s="80"/>
      <c r="L20" s="80"/>
      <c r="M20" s="80"/>
      <c r="N20" s="80"/>
      <c r="O20" s="80"/>
      <c r="P20" s="80"/>
      <c r="Q20" s="80"/>
      <c r="R20" s="80"/>
      <c r="S20" s="80"/>
      <c r="T20" s="80"/>
      <c r="U20" s="80" t="s">
        <v>1719</v>
      </c>
      <c r="V20" s="80"/>
      <c r="W20" s="80"/>
      <c r="X20" s="80"/>
      <c r="Y20" s="80"/>
      <c r="Z20" s="80"/>
    </row>
    <row r="21" spans="1:28" ht="153">
      <c r="A21" s="1" t="s">
        <v>529</v>
      </c>
      <c r="B21" s="1" t="s">
        <v>634</v>
      </c>
      <c r="C21" s="1" t="s">
        <v>1284</v>
      </c>
      <c r="D21" s="1" t="s">
        <v>1285</v>
      </c>
      <c r="E21" s="2" t="s">
        <v>13</v>
      </c>
      <c r="F21" s="2">
        <v>29</v>
      </c>
      <c r="G21" s="39">
        <v>9975</v>
      </c>
      <c r="H21" s="79">
        <f t="shared" si="0"/>
        <v>289275</v>
      </c>
      <c r="I21" s="39"/>
      <c r="J21" s="39"/>
      <c r="K21" s="80"/>
      <c r="L21" s="80"/>
      <c r="M21" s="80"/>
      <c r="N21" s="80"/>
      <c r="O21" s="80"/>
      <c r="P21" s="80"/>
      <c r="Q21" s="80"/>
      <c r="R21" s="80"/>
      <c r="S21" s="80"/>
      <c r="T21" s="80"/>
      <c r="U21" s="80"/>
      <c r="V21" s="80" t="s">
        <v>1719</v>
      </c>
      <c r="W21" s="80"/>
      <c r="X21" s="80"/>
      <c r="Y21" s="80"/>
      <c r="Z21" s="80"/>
      <c r="AA21" s="46">
        <f>H21+H22+H23</f>
        <v>639450</v>
      </c>
      <c r="AB21" t="s">
        <v>1758</v>
      </c>
    </row>
    <row r="22" spans="1:28" ht="178.5">
      <c r="A22" s="1" t="s">
        <v>532</v>
      </c>
      <c r="B22" s="1" t="s">
        <v>1286</v>
      </c>
      <c r="C22" s="1" t="s">
        <v>1287</v>
      </c>
      <c r="D22" s="1" t="s">
        <v>1734</v>
      </c>
      <c r="E22" s="2" t="s">
        <v>13</v>
      </c>
      <c r="F22" s="2">
        <v>29</v>
      </c>
      <c r="G22" s="39" t="s">
        <v>1288</v>
      </c>
      <c r="H22" s="79">
        <f t="shared" si="0"/>
        <v>106575</v>
      </c>
      <c r="I22" s="39"/>
      <c r="J22" s="39"/>
      <c r="K22" s="80"/>
      <c r="L22" s="80"/>
      <c r="M22" s="80"/>
      <c r="N22" s="80"/>
      <c r="O22" s="80"/>
      <c r="P22" s="80"/>
      <c r="Q22" s="80"/>
      <c r="R22" s="80"/>
      <c r="S22" s="80"/>
      <c r="T22" s="80"/>
      <c r="U22" s="80"/>
      <c r="V22" s="80" t="s">
        <v>1719</v>
      </c>
      <c r="W22" s="80"/>
      <c r="X22" s="80"/>
      <c r="Y22" s="80"/>
      <c r="Z22" s="80"/>
    </row>
    <row r="23" spans="1:28" ht="306">
      <c r="A23" s="1" t="s">
        <v>535</v>
      </c>
      <c r="B23" s="1" t="s">
        <v>1289</v>
      </c>
      <c r="C23" s="1" t="s">
        <v>1290</v>
      </c>
      <c r="D23" s="1" t="s">
        <v>1735</v>
      </c>
      <c r="E23" s="2" t="s">
        <v>13</v>
      </c>
      <c r="F23" s="2">
        <v>29</v>
      </c>
      <c r="G23" s="39" t="s">
        <v>1268</v>
      </c>
      <c r="H23" s="79">
        <f t="shared" si="0"/>
        <v>243600</v>
      </c>
      <c r="I23" s="39"/>
      <c r="J23" s="39"/>
      <c r="K23" s="80"/>
      <c r="L23" s="80"/>
      <c r="M23" s="80"/>
      <c r="N23" s="80"/>
      <c r="O23" s="80"/>
      <c r="P23" s="80"/>
      <c r="Q23" s="80"/>
      <c r="R23" s="80"/>
      <c r="S23" s="80"/>
      <c r="T23" s="80"/>
      <c r="U23" s="80"/>
      <c r="V23" s="80"/>
      <c r="W23" s="80" t="s">
        <v>1719</v>
      </c>
      <c r="X23" s="80"/>
      <c r="Y23" s="80"/>
      <c r="Z23" s="80"/>
    </row>
    <row r="24" spans="1:28" ht="63.75">
      <c r="A24" s="1" t="s">
        <v>539</v>
      </c>
      <c r="B24" s="1" t="s">
        <v>680</v>
      </c>
      <c r="C24" s="1" t="s">
        <v>1291</v>
      </c>
      <c r="D24" s="1" t="s">
        <v>1292</v>
      </c>
      <c r="E24" s="2" t="s">
        <v>13</v>
      </c>
      <c r="F24" s="2">
        <v>29</v>
      </c>
      <c r="G24" s="39" t="s">
        <v>1293</v>
      </c>
      <c r="H24" s="79">
        <f t="shared" si="0"/>
        <v>12484.5</v>
      </c>
      <c r="I24" s="39" t="s">
        <v>1719</v>
      </c>
      <c r="J24" s="39"/>
      <c r="K24" s="80"/>
      <c r="L24" s="80"/>
      <c r="M24" s="80" t="s">
        <v>1719</v>
      </c>
      <c r="N24" s="80"/>
      <c r="O24" s="80"/>
      <c r="P24" s="80"/>
      <c r="Q24" s="80"/>
      <c r="R24" s="80"/>
      <c r="S24" s="80"/>
      <c r="T24" s="80"/>
      <c r="U24" s="80"/>
      <c r="V24" s="80"/>
      <c r="W24" s="80"/>
      <c r="X24" s="80"/>
      <c r="Y24" s="80"/>
      <c r="Z24" s="80"/>
    </row>
    <row r="25" spans="1:28" ht="51">
      <c r="A25" s="1" t="s">
        <v>543</v>
      </c>
      <c r="B25" s="1" t="s">
        <v>680</v>
      </c>
      <c r="C25" s="1" t="s">
        <v>1294</v>
      </c>
      <c r="D25" s="1" t="s">
        <v>1295</v>
      </c>
      <c r="E25" s="2" t="s">
        <v>13</v>
      </c>
      <c r="F25" s="2">
        <v>29</v>
      </c>
      <c r="G25" s="39" t="s">
        <v>1296</v>
      </c>
      <c r="H25" s="79">
        <f t="shared" si="0"/>
        <v>13702.5</v>
      </c>
      <c r="I25" s="39" t="s">
        <v>1719</v>
      </c>
      <c r="J25" s="39"/>
      <c r="K25" s="80"/>
      <c r="L25" s="80"/>
      <c r="M25" s="80" t="s">
        <v>1719</v>
      </c>
      <c r="N25" s="80"/>
      <c r="O25" s="80"/>
      <c r="P25" s="80"/>
      <c r="Q25" s="80"/>
      <c r="R25" s="80"/>
      <c r="S25" s="80"/>
      <c r="T25" s="80"/>
      <c r="U25" s="80"/>
      <c r="V25" s="80"/>
      <c r="W25" s="80"/>
      <c r="X25" s="80"/>
      <c r="Y25" s="80"/>
      <c r="Z25" s="80"/>
    </row>
    <row r="26" spans="1:28" ht="51">
      <c r="A26" s="1" t="s">
        <v>547</v>
      </c>
      <c r="B26" s="1" t="s">
        <v>680</v>
      </c>
      <c r="C26" s="1" t="s">
        <v>1297</v>
      </c>
      <c r="D26" s="1" t="s">
        <v>1298</v>
      </c>
      <c r="E26" s="2" t="s">
        <v>13</v>
      </c>
      <c r="F26" s="2">
        <v>29</v>
      </c>
      <c r="G26" s="39" t="s">
        <v>1299</v>
      </c>
      <c r="H26" s="79">
        <f t="shared" si="0"/>
        <v>10657.5</v>
      </c>
      <c r="I26" s="39" t="s">
        <v>1719</v>
      </c>
      <c r="J26" s="39"/>
      <c r="K26" s="80"/>
      <c r="L26" s="80"/>
      <c r="M26" s="80" t="s">
        <v>1719</v>
      </c>
      <c r="N26" s="80"/>
      <c r="O26" s="80"/>
      <c r="P26" s="80"/>
      <c r="Q26" s="80"/>
      <c r="R26" s="80"/>
      <c r="S26" s="80"/>
      <c r="T26" s="80"/>
      <c r="U26" s="80"/>
      <c r="V26" s="80"/>
      <c r="W26" s="80"/>
      <c r="X26" s="80"/>
      <c r="Y26" s="80"/>
      <c r="Z26" s="80"/>
    </row>
    <row r="27" spans="1:28" ht="63.75">
      <c r="A27" s="1" t="s">
        <v>551</v>
      </c>
      <c r="B27" s="1" t="s">
        <v>680</v>
      </c>
      <c r="C27" s="1" t="s">
        <v>1300</v>
      </c>
      <c r="D27" s="1" t="s">
        <v>1301</v>
      </c>
      <c r="E27" s="2" t="s">
        <v>13</v>
      </c>
      <c r="F27" s="2">
        <v>29</v>
      </c>
      <c r="G27" s="39" t="s">
        <v>1302</v>
      </c>
      <c r="H27" s="79">
        <f t="shared" si="0"/>
        <v>19792.5</v>
      </c>
      <c r="I27" s="39" t="s">
        <v>1719</v>
      </c>
      <c r="J27" s="39"/>
      <c r="K27" s="80"/>
      <c r="L27" s="80"/>
      <c r="M27" s="80" t="s">
        <v>1719</v>
      </c>
      <c r="N27" s="80"/>
      <c r="O27" s="80"/>
      <c r="P27" s="80"/>
      <c r="Q27" s="80"/>
      <c r="R27" s="80"/>
      <c r="S27" s="80"/>
      <c r="T27" s="80"/>
      <c r="U27" s="80"/>
      <c r="V27" s="80"/>
      <c r="W27" s="80"/>
      <c r="X27" s="80"/>
      <c r="Y27" s="80"/>
      <c r="Z27" s="80"/>
    </row>
    <row r="28" spans="1:28" ht="229.5">
      <c r="A28" s="1" t="s">
        <v>555</v>
      </c>
      <c r="B28" s="1" t="s">
        <v>680</v>
      </c>
      <c r="C28" s="1" t="s">
        <v>1303</v>
      </c>
      <c r="D28" s="1" t="s">
        <v>1304</v>
      </c>
      <c r="E28" s="2" t="s">
        <v>13</v>
      </c>
      <c r="F28" s="2">
        <v>29</v>
      </c>
      <c r="G28" s="39" t="s">
        <v>1305</v>
      </c>
      <c r="H28" s="79">
        <f t="shared" si="0"/>
        <v>36540</v>
      </c>
      <c r="I28" s="39"/>
      <c r="J28" s="39"/>
      <c r="K28" s="80"/>
      <c r="L28" s="80" t="s">
        <v>1719</v>
      </c>
      <c r="M28" s="80"/>
      <c r="N28" s="80"/>
      <c r="O28" s="80" t="s">
        <v>1719</v>
      </c>
      <c r="P28" s="80"/>
      <c r="Q28" s="80"/>
      <c r="R28" s="80"/>
      <c r="S28" s="80"/>
      <c r="T28" s="80"/>
      <c r="U28" s="80"/>
      <c r="V28" s="80"/>
      <c r="W28" s="80"/>
      <c r="X28" s="80"/>
      <c r="Y28" s="80"/>
      <c r="Z28" s="80"/>
    </row>
    <row r="29" spans="1:28" ht="267.75">
      <c r="A29" s="1" t="s">
        <v>558</v>
      </c>
      <c r="B29" s="1" t="s">
        <v>680</v>
      </c>
      <c r="C29" s="1" t="s">
        <v>1306</v>
      </c>
      <c r="D29" s="1" t="s">
        <v>1307</v>
      </c>
      <c r="E29" s="2" t="s">
        <v>13</v>
      </c>
      <c r="F29" s="2">
        <v>29</v>
      </c>
      <c r="G29" s="39" t="s">
        <v>1308</v>
      </c>
      <c r="H29" s="79">
        <f t="shared" si="0"/>
        <v>22837.5</v>
      </c>
      <c r="I29" s="39"/>
      <c r="J29" s="39"/>
      <c r="K29" s="80"/>
      <c r="L29" s="80" t="s">
        <v>1719</v>
      </c>
      <c r="M29" s="80"/>
      <c r="N29" s="80"/>
      <c r="O29" s="80" t="s">
        <v>1719</v>
      </c>
      <c r="P29" s="80"/>
      <c r="Q29" s="80"/>
      <c r="R29" s="80"/>
      <c r="S29" s="80"/>
      <c r="T29" s="80"/>
      <c r="U29" s="80"/>
      <c r="V29" s="80"/>
      <c r="W29" s="80"/>
      <c r="X29" s="80"/>
      <c r="Y29" s="80"/>
      <c r="Z29" s="80"/>
    </row>
    <row r="30" spans="1:28" ht="38.25">
      <c r="A30" s="1" t="s">
        <v>560</v>
      </c>
      <c r="B30" s="1" t="s">
        <v>680</v>
      </c>
      <c r="C30" s="1" t="s">
        <v>1309</v>
      </c>
      <c r="D30" s="1" t="s">
        <v>1310</v>
      </c>
      <c r="E30" s="2" t="s">
        <v>13</v>
      </c>
      <c r="F30" s="2">
        <v>29</v>
      </c>
      <c r="G30" s="39" t="s">
        <v>1311</v>
      </c>
      <c r="H30" s="79">
        <f t="shared" si="0"/>
        <v>21315</v>
      </c>
      <c r="I30" s="39" t="s">
        <v>1719</v>
      </c>
      <c r="J30" s="39"/>
      <c r="K30" s="80"/>
      <c r="L30" s="80"/>
      <c r="M30" s="80" t="s">
        <v>1719</v>
      </c>
      <c r="N30" s="80"/>
      <c r="O30" s="80"/>
      <c r="P30" s="80"/>
      <c r="Q30" s="80"/>
      <c r="R30" s="80"/>
      <c r="S30" s="80"/>
      <c r="T30" s="80"/>
      <c r="U30" s="80"/>
      <c r="V30" s="80"/>
      <c r="W30" s="80"/>
      <c r="X30" s="80"/>
      <c r="Y30" s="80"/>
      <c r="Z30" s="80"/>
    </row>
    <row r="31" spans="1:28" ht="140.25">
      <c r="A31" s="1" t="s">
        <v>562</v>
      </c>
      <c r="B31" s="1" t="s">
        <v>680</v>
      </c>
      <c r="C31" s="1" t="s">
        <v>1312</v>
      </c>
      <c r="D31" s="1" t="s">
        <v>1313</v>
      </c>
      <c r="E31" s="2" t="s">
        <v>13</v>
      </c>
      <c r="F31" s="2">
        <v>29</v>
      </c>
      <c r="G31" s="39" t="s">
        <v>1314</v>
      </c>
      <c r="H31" s="79">
        <f t="shared" si="0"/>
        <v>27405</v>
      </c>
      <c r="I31" s="39"/>
      <c r="J31" s="39"/>
      <c r="K31" s="80"/>
      <c r="L31" s="80" t="s">
        <v>1719</v>
      </c>
      <c r="M31" s="80"/>
      <c r="N31" s="80"/>
      <c r="O31" s="80" t="s">
        <v>1719</v>
      </c>
      <c r="P31" s="80"/>
      <c r="Q31" s="80"/>
      <c r="R31" s="80"/>
      <c r="S31" s="80"/>
      <c r="T31" s="80"/>
      <c r="U31" s="80"/>
      <c r="V31" s="80"/>
      <c r="W31" s="80"/>
      <c r="X31" s="80"/>
      <c r="Y31" s="80"/>
      <c r="Z31" s="80"/>
    </row>
    <row r="32" spans="1:28" ht="38.25">
      <c r="A32" s="1" t="s">
        <v>567</v>
      </c>
      <c r="B32" s="1" t="s">
        <v>680</v>
      </c>
      <c r="C32" s="1" t="s">
        <v>1315</v>
      </c>
      <c r="D32" s="1" t="s">
        <v>1316</v>
      </c>
      <c r="E32" s="2" t="s">
        <v>13</v>
      </c>
      <c r="F32" s="2">
        <v>29</v>
      </c>
      <c r="G32" s="39" t="s">
        <v>1317</v>
      </c>
      <c r="H32" s="79">
        <f t="shared" si="0"/>
        <v>44152.5</v>
      </c>
      <c r="I32" s="39"/>
      <c r="J32" s="39"/>
      <c r="K32" s="80"/>
      <c r="L32" s="80"/>
      <c r="M32" s="80" t="s">
        <v>1719</v>
      </c>
      <c r="N32" s="80"/>
      <c r="O32" s="80"/>
      <c r="P32" s="80"/>
      <c r="Q32" s="80"/>
      <c r="R32" s="80"/>
      <c r="S32" s="80"/>
      <c r="T32" s="80"/>
      <c r="U32" s="80"/>
      <c r="V32" s="80"/>
      <c r="W32" s="80"/>
      <c r="X32" s="80"/>
      <c r="Y32" s="80"/>
      <c r="Z32" s="80"/>
    </row>
    <row r="33" spans="1:28" ht="76.5">
      <c r="A33" s="1" t="s">
        <v>571</v>
      </c>
      <c r="B33" s="1" t="s">
        <v>680</v>
      </c>
      <c r="C33" s="1" t="s">
        <v>1318</v>
      </c>
      <c r="D33" s="1" t="s">
        <v>765</v>
      </c>
      <c r="E33" s="2" t="s">
        <v>13</v>
      </c>
      <c r="F33" s="2">
        <v>29</v>
      </c>
      <c r="G33" s="39" t="s">
        <v>1319</v>
      </c>
      <c r="H33" s="79">
        <f t="shared" si="0"/>
        <v>2436</v>
      </c>
      <c r="I33" s="39" t="s">
        <v>1719</v>
      </c>
      <c r="J33" s="39"/>
      <c r="K33" s="80"/>
      <c r="L33" s="80" t="s">
        <v>1719</v>
      </c>
      <c r="M33" s="80"/>
      <c r="N33" s="80"/>
      <c r="O33" s="80"/>
      <c r="P33" s="80"/>
      <c r="Q33" s="80"/>
      <c r="R33" s="80"/>
      <c r="S33" s="80"/>
      <c r="T33" s="80"/>
      <c r="U33" s="80"/>
      <c r="V33" s="80"/>
      <c r="W33" s="80" t="s">
        <v>1719</v>
      </c>
      <c r="X33" s="80"/>
      <c r="Y33" s="80"/>
      <c r="Z33" s="80"/>
    </row>
    <row r="34" spans="1:28" ht="76.5">
      <c r="A34" s="1" t="s">
        <v>574</v>
      </c>
      <c r="B34" s="1" t="s">
        <v>680</v>
      </c>
      <c r="C34" s="1" t="s">
        <v>1320</v>
      </c>
      <c r="D34" s="1" t="s">
        <v>768</v>
      </c>
      <c r="E34" s="2" t="s">
        <v>13</v>
      </c>
      <c r="F34" s="2">
        <v>29</v>
      </c>
      <c r="G34" s="39" t="s">
        <v>1319</v>
      </c>
      <c r="H34" s="79">
        <f t="shared" si="0"/>
        <v>2436</v>
      </c>
      <c r="I34" s="39" t="s">
        <v>1719</v>
      </c>
      <c r="J34" s="39"/>
      <c r="K34" s="80"/>
      <c r="L34" s="80"/>
      <c r="M34" s="80"/>
      <c r="N34" s="80"/>
      <c r="O34" s="80"/>
      <c r="P34" s="80"/>
      <c r="Q34" s="80"/>
      <c r="R34" s="80"/>
      <c r="S34" s="80"/>
      <c r="T34" s="80"/>
      <c r="U34" s="80"/>
      <c r="V34" s="80"/>
      <c r="W34" s="80" t="s">
        <v>1719</v>
      </c>
      <c r="X34" s="80"/>
      <c r="Y34" s="80"/>
      <c r="Z34" s="80"/>
    </row>
    <row r="35" spans="1:28" ht="63.75">
      <c r="A35" s="1" t="s">
        <v>9</v>
      </c>
      <c r="B35" s="1" t="s">
        <v>774</v>
      </c>
      <c r="C35" s="1" t="s">
        <v>1321</v>
      </c>
      <c r="D35" s="1" t="s">
        <v>1322</v>
      </c>
      <c r="E35" s="2" t="s">
        <v>13</v>
      </c>
      <c r="F35" s="2">
        <v>29</v>
      </c>
      <c r="G35" s="39" t="s">
        <v>1323</v>
      </c>
      <c r="H35" s="79">
        <f t="shared" si="0"/>
        <v>2770.95</v>
      </c>
      <c r="I35" s="39" t="s">
        <v>1719</v>
      </c>
      <c r="J35" s="39"/>
      <c r="K35" s="80"/>
      <c r="L35" s="80"/>
      <c r="M35" s="80"/>
      <c r="N35" s="80"/>
      <c r="O35" s="80"/>
      <c r="P35" s="80"/>
      <c r="Q35" s="80" t="s">
        <v>1719</v>
      </c>
      <c r="R35" s="80"/>
      <c r="S35" s="80"/>
      <c r="T35" s="80"/>
      <c r="U35" s="80"/>
      <c r="V35" s="80"/>
      <c r="W35" s="80"/>
      <c r="X35" s="80"/>
      <c r="Y35" s="80"/>
      <c r="Z35" s="80"/>
      <c r="AA35" s="46">
        <f>SUM(H35:H49)</f>
        <v>7825.6500000000005</v>
      </c>
      <c r="AB35" t="s">
        <v>1762</v>
      </c>
    </row>
    <row r="36" spans="1:28" ht="25.5">
      <c r="A36" s="1" t="s">
        <v>15</v>
      </c>
      <c r="B36" s="1" t="s">
        <v>774</v>
      </c>
      <c r="C36" s="1" t="s">
        <v>1324</v>
      </c>
      <c r="D36" s="1" t="s">
        <v>1325</v>
      </c>
      <c r="E36" s="2" t="s">
        <v>13</v>
      </c>
      <c r="F36" s="2">
        <v>29</v>
      </c>
      <c r="G36" s="39">
        <v>12.6</v>
      </c>
      <c r="H36" s="79">
        <f t="shared" si="0"/>
        <v>365.4</v>
      </c>
      <c r="I36" s="39"/>
      <c r="J36" s="39"/>
      <c r="K36" s="80"/>
      <c r="L36" s="80"/>
      <c r="M36" s="80"/>
      <c r="N36" s="80"/>
      <c r="O36" s="80"/>
      <c r="P36" s="80"/>
      <c r="Q36" s="80" t="s">
        <v>1719</v>
      </c>
      <c r="R36" s="80"/>
      <c r="S36" s="80"/>
      <c r="T36" s="80"/>
      <c r="U36" s="80"/>
      <c r="V36" s="80"/>
      <c r="W36" s="80"/>
      <c r="X36" s="80"/>
      <c r="Y36" s="80"/>
      <c r="Z36" s="80"/>
    </row>
    <row r="37" spans="1:28" ht="51">
      <c r="A37" s="1" t="s">
        <v>19</v>
      </c>
      <c r="B37" s="1" t="s">
        <v>774</v>
      </c>
      <c r="C37" s="1" t="s">
        <v>787</v>
      </c>
      <c r="D37" s="1" t="s">
        <v>1326</v>
      </c>
      <c r="E37" s="2" t="s">
        <v>13</v>
      </c>
      <c r="F37" s="2">
        <v>29</v>
      </c>
      <c r="G37" s="39">
        <v>11.55</v>
      </c>
      <c r="H37" s="79">
        <f t="shared" si="0"/>
        <v>334.95000000000005</v>
      </c>
      <c r="I37" s="39"/>
      <c r="J37" s="39"/>
      <c r="K37" s="80"/>
      <c r="L37" s="80"/>
      <c r="M37" s="80"/>
      <c r="N37" s="80"/>
      <c r="O37" s="80"/>
      <c r="P37" s="80"/>
      <c r="Q37" s="80" t="s">
        <v>1719</v>
      </c>
      <c r="R37" s="80"/>
      <c r="S37" s="80"/>
      <c r="T37" s="80"/>
      <c r="U37" s="80"/>
      <c r="V37" s="80"/>
      <c r="W37" s="80"/>
      <c r="X37" s="80"/>
      <c r="Y37" s="80"/>
      <c r="Z37" s="80"/>
    </row>
    <row r="38" spans="1:28" ht="76.5">
      <c r="A38" s="1" t="s">
        <v>23</v>
      </c>
      <c r="B38" s="1" t="s">
        <v>774</v>
      </c>
      <c r="C38" s="1" t="s">
        <v>789</v>
      </c>
      <c r="D38" s="1" t="s">
        <v>1327</v>
      </c>
      <c r="E38" s="2" t="s">
        <v>13</v>
      </c>
      <c r="F38" s="2">
        <v>29</v>
      </c>
      <c r="G38" s="39">
        <v>12.6</v>
      </c>
      <c r="H38" s="79">
        <f t="shared" si="0"/>
        <v>365.4</v>
      </c>
      <c r="I38" s="39"/>
      <c r="J38" s="39"/>
      <c r="K38" s="80"/>
      <c r="L38" s="80"/>
      <c r="M38" s="80"/>
      <c r="N38" s="80"/>
      <c r="O38" s="80"/>
      <c r="P38" s="80"/>
      <c r="Q38" s="80" t="s">
        <v>1719</v>
      </c>
      <c r="R38" s="80"/>
      <c r="S38" s="80"/>
      <c r="T38" s="80"/>
      <c r="U38" s="80"/>
      <c r="V38" s="80"/>
      <c r="W38" s="80"/>
      <c r="X38" s="80"/>
      <c r="Y38" s="80"/>
      <c r="Z38" s="80"/>
    </row>
    <row r="39" spans="1:28" ht="76.5">
      <c r="A39" s="1" t="s">
        <v>25</v>
      </c>
      <c r="B39" s="1" t="s">
        <v>798</v>
      </c>
      <c r="C39" s="1" t="s">
        <v>799</v>
      </c>
      <c r="D39" s="1" t="s">
        <v>1328</v>
      </c>
      <c r="E39" s="2" t="s">
        <v>13</v>
      </c>
      <c r="F39" s="2">
        <v>29</v>
      </c>
      <c r="G39" s="39">
        <v>12.6</v>
      </c>
      <c r="H39" s="79">
        <f t="shared" si="0"/>
        <v>365.4</v>
      </c>
      <c r="I39" s="39"/>
      <c r="J39" s="39"/>
      <c r="K39" s="80"/>
      <c r="L39" s="80"/>
      <c r="M39" s="80"/>
      <c r="N39" s="80"/>
      <c r="O39" s="80"/>
      <c r="P39" s="80"/>
      <c r="Q39" s="80" t="s">
        <v>1719</v>
      </c>
      <c r="R39" s="80"/>
      <c r="S39" s="80"/>
      <c r="T39" s="80"/>
      <c r="U39" s="80"/>
      <c r="V39" s="80"/>
      <c r="W39" s="80"/>
      <c r="X39" s="80"/>
      <c r="Y39" s="80"/>
      <c r="Z39" s="80"/>
    </row>
    <row r="40" spans="1:28" ht="63.75">
      <c r="A40" s="1" t="s">
        <v>30</v>
      </c>
      <c r="B40" s="1" t="s">
        <v>798</v>
      </c>
      <c r="C40" s="1" t="s">
        <v>803</v>
      </c>
      <c r="D40" s="1" t="s">
        <v>1329</v>
      </c>
      <c r="E40" s="2" t="s">
        <v>13</v>
      </c>
      <c r="F40" s="2">
        <v>29</v>
      </c>
      <c r="G40" s="39">
        <v>23.1</v>
      </c>
      <c r="H40" s="79">
        <f t="shared" si="0"/>
        <v>669.90000000000009</v>
      </c>
      <c r="I40" s="39"/>
      <c r="J40" s="39"/>
      <c r="K40" s="80"/>
      <c r="L40" s="80"/>
      <c r="M40" s="80"/>
      <c r="N40" s="80"/>
      <c r="O40" s="80"/>
      <c r="P40" s="80"/>
      <c r="Q40" s="80" t="s">
        <v>1719</v>
      </c>
      <c r="R40" s="80"/>
      <c r="S40" s="80"/>
      <c r="T40" s="80"/>
      <c r="U40" s="80"/>
      <c r="V40" s="80"/>
      <c r="W40" s="80"/>
      <c r="X40" s="80"/>
      <c r="Y40" s="80"/>
      <c r="Z40" s="80"/>
    </row>
    <row r="41" spans="1:28" ht="76.5">
      <c r="A41" s="1" t="s">
        <v>32</v>
      </c>
      <c r="B41" s="1" t="s">
        <v>798</v>
      </c>
      <c r="C41" s="1" t="s">
        <v>805</v>
      </c>
      <c r="D41" s="1" t="s">
        <v>1330</v>
      </c>
      <c r="E41" s="2" t="s">
        <v>13</v>
      </c>
      <c r="F41" s="2">
        <v>29</v>
      </c>
      <c r="G41" s="39">
        <v>13.65</v>
      </c>
      <c r="H41" s="79">
        <f t="shared" si="0"/>
        <v>395.85</v>
      </c>
      <c r="I41" s="39"/>
      <c r="J41" s="39"/>
      <c r="K41" s="80"/>
      <c r="L41" s="80"/>
      <c r="M41" s="80"/>
      <c r="N41" s="80"/>
      <c r="O41" s="80"/>
      <c r="P41" s="80"/>
      <c r="Q41" s="80" t="s">
        <v>1719</v>
      </c>
      <c r="R41" s="80"/>
      <c r="S41" s="80"/>
      <c r="T41" s="80"/>
      <c r="U41" s="80"/>
      <c r="V41" s="80"/>
      <c r="W41" s="80"/>
      <c r="X41" s="80"/>
      <c r="Y41" s="80"/>
      <c r="Z41" s="80"/>
    </row>
    <row r="42" spans="1:28" ht="51">
      <c r="A42" s="1" t="s">
        <v>34</v>
      </c>
      <c r="B42" s="1" t="s">
        <v>798</v>
      </c>
      <c r="C42" s="1" t="s">
        <v>1331</v>
      </c>
      <c r="D42" s="1" t="s">
        <v>1332</v>
      </c>
      <c r="E42" s="2" t="s">
        <v>13</v>
      </c>
      <c r="F42" s="2">
        <v>29</v>
      </c>
      <c r="G42" s="39">
        <v>12.6</v>
      </c>
      <c r="H42" s="79">
        <f t="shared" si="0"/>
        <v>365.4</v>
      </c>
      <c r="I42" s="39"/>
      <c r="J42" s="39"/>
      <c r="K42" s="80"/>
      <c r="L42" s="80"/>
      <c r="M42" s="80"/>
      <c r="N42" s="80"/>
      <c r="O42" s="80"/>
      <c r="P42" s="80"/>
      <c r="Q42" s="80" t="s">
        <v>1719</v>
      </c>
      <c r="R42" s="80"/>
      <c r="S42" s="80"/>
      <c r="T42" s="80"/>
      <c r="U42" s="80"/>
      <c r="V42" s="80"/>
      <c r="W42" s="80"/>
      <c r="X42" s="80"/>
      <c r="Y42" s="80"/>
      <c r="Z42" s="80"/>
    </row>
    <row r="43" spans="1:28" ht="51">
      <c r="A43" s="1" t="s">
        <v>36</v>
      </c>
      <c r="B43" s="1" t="s">
        <v>798</v>
      </c>
      <c r="C43" s="1" t="s">
        <v>1333</v>
      </c>
      <c r="D43" s="1" t="s">
        <v>1334</v>
      </c>
      <c r="E43" s="2" t="s">
        <v>13</v>
      </c>
      <c r="F43" s="2">
        <v>29</v>
      </c>
      <c r="G43" s="39">
        <v>13.65</v>
      </c>
      <c r="H43" s="79">
        <f t="shared" si="0"/>
        <v>395.85</v>
      </c>
      <c r="I43" s="39"/>
      <c r="J43" s="39"/>
      <c r="K43" s="80"/>
      <c r="L43" s="80"/>
      <c r="M43" s="80"/>
      <c r="N43" s="80"/>
      <c r="O43" s="80"/>
      <c r="P43" s="80"/>
      <c r="Q43" s="80" t="s">
        <v>1719</v>
      </c>
      <c r="R43" s="80"/>
      <c r="S43" s="80"/>
      <c r="T43" s="80"/>
      <c r="U43" s="80"/>
      <c r="V43" s="80"/>
      <c r="W43" s="80"/>
      <c r="X43" s="80"/>
      <c r="Y43" s="80"/>
      <c r="Z43" s="80"/>
    </row>
    <row r="44" spans="1:28" ht="51">
      <c r="A44" s="1" t="s">
        <v>39</v>
      </c>
      <c r="B44" s="1" t="s">
        <v>798</v>
      </c>
      <c r="C44" s="1" t="s">
        <v>1335</v>
      </c>
      <c r="D44" s="1" t="s">
        <v>1336</v>
      </c>
      <c r="E44" s="2" t="s">
        <v>13</v>
      </c>
      <c r="F44" s="2">
        <v>29</v>
      </c>
      <c r="G44" s="39">
        <v>12.6</v>
      </c>
      <c r="H44" s="79">
        <f t="shared" si="0"/>
        <v>365.4</v>
      </c>
      <c r="I44" s="39"/>
      <c r="J44" s="39"/>
      <c r="K44" s="80"/>
      <c r="L44" s="80"/>
      <c r="M44" s="80"/>
      <c r="N44" s="80"/>
      <c r="O44" s="80"/>
      <c r="P44" s="80"/>
      <c r="Q44" s="80" t="s">
        <v>1719</v>
      </c>
      <c r="R44" s="80"/>
      <c r="S44" s="80"/>
      <c r="T44" s="80"/>
      <c r="U44" s="80"/>
      <c r="V44" s="80"/>
      <c r="W44" s="80"/>
      <c r="X44" s="80"/>
      <c r="Y44" s="80"/>
      <c r="Z44" s="80"/>
    </row>
    <row r="45" spans="1:28" ht="38.25">
      <c r="A45" s="1" t="s">
        <v>41</v>
      </c>
      <c r="B45" s="1" t="s">
        <v>798</v>
      </c>
      <c r="C45" s="1" t="s">
        <v>809</v>
      </c>
      <c r="D45" s="1" t="s">
        <v>1337</v>
      </c>
      <c r="E45" s="2" t="s">
        <v>13</v>
      </c>
      <c r="F45" s="2">
        <v>29</v>
      </c>
      <c r="G45" s="39">
        <v>9.4499999999999993</v>
      </c>
      <c r="H45" s="79">
        <f t="shared" si="0"/>
        <v>274.04999999999995</v>
      </c>
      <c r="I45" s="39"/>
      <c r="J45" s="39"/>
      <c r="K45" s="80"/>
      <c r="L45" s="80"/>
      <c r="M45" s="80"/>
      <c r="N45" s="80"/>
      <c r="O45" s="80"/>
      <c r="P45" s="80"/>
      <c r="Q45" s="80" t="s">
        <v>1719</v>
      </c>
      <c r="R45" s="80"/>
      <c r="S45" s="80"/>
      <c r="T45" s="80"/>
      <c r="U45" s="80"/>
      <c r="V45" s="80"/>
      <c r="W45" s="80"/>
      <c r="X45" s="80"/>
      <c r="Y45" s="80"/>
      <c r="Z45" s="80"/>
    </row>
    <row r="46" spans="1:28" ht="38.25">
      <c r="A46" s="1" t="s">
        <v>43</v>
      </c>
      <c r="B46" s="1" t="s">
        <v>798</v>
      </c>
      <c r="C46" s="1" t="s">
        <v>812</v>
      </c>
      <c r="D46" s="1" t="s">
        <v>1338</v>
      </c>
      <c r="E46" s="2" t="s">
        <v>13</v>
      </c>
      <c r="F46" s="2">
        <v>29</v>
      </c>
      <c r="G46" s="39">
        <v>9.4499999999999993</v>
      </c>
      <c r="H46" s="79">
        <f t="shared" si="0"/>
        <v>274.04999999999995</v>
      </c>
      <c r="I46" s="39"/>
      <c r="J46" s="39"/>
      <c r="K46" s="80"/>
      <c r="L46" s="80"/>
      <c r="M46" s="80"/>
      <c r="N46" s="80"/>
      <c r="O46" s="80"/>
      <c r="P46" s="80"/>
      <c r="Q46" s="80" t="s">
        <v>1719</v>
      </c>
      <c r="R46" s="80"/>
      <c r="S46" s="80"/>
      <c r="T46" s="80"/>
      <c r="U46" s="80"/>
      <c r="V46" s="80"/>
      <c r="W46" s="80"/>
      <c r="X46" s="80"/>
      <c r="Y46" s="80"/>
      <c r="Z46" s="80"/>
    </row>
    <row r="47" spans="1:28" ht="25.5">
      <c r="A47" s="1" t="s">
        <v>45</v>
      </c>
      <c r="B47" s="1" t="s">
        <v>798</v>
      </c>
      <c r="C47" s="1" t="s">
        <v>814</v>
      </c>
      <c r="D47" s="1" t="s">
        <v>1339</v>
      </c>
      <c r="E47" s="2" t="s">
        <v>13</v>
      </c>
      <c r="F47" s="2">
        <v>29</v>
      </c>
      <c r="G47" s="39">
        <v>9.4499999999999993</v>
      </c>
      <c r="H47" s="79">
        <f t="shared" si="0"/>
        <v>274.04999999999995</v>
      </c>
      <c r="I47" s="39"/>
      <c r="J47" s="39"/>
      <c r="K47" s="80"/>
      <c r="L47" s="80"/>
      <c r="M47" s="80"/>
      <c r="N47" s="80"/>
      <c r="O47" s="80"/>
      <c r="P47" s="80"/>
      <c r="Q47" s="80" t="s">
        <v>1719</v>
      </c>
      <c r="R47" s="80"/>
      <c r="S47" s="80"/>
      <c r="T47" s="80"/>
      <c r="U47" s="80"/>
      <c r="V47" s="80"/>
      <c r="W47" s="80"/>
      <c r="X47" s="80"/>
      <c r="Y47" s="80"/>
      <c r="Z47" s="80"/>
    </row>
    <row r="48" spans="1:28" ht="25.5">
      <c r="A48" s="1" t="s">
        <v>47</v>
      </c>
      <c r="B48" s="1" t="s">
        <v>798</v>
      </c>
      <c r="C48" s="1" t="s">
        <v>816</v>
      </c>
      <c r="D48" s="1" t="s">
        <v>1340</v>
      </c>
      <c r="E48" s="2" t="s">
        <v>13</v>
      </c>
      <c r="F48" s="2">
        <v>29</v>
      </c>
      <c r="G48" s="39">
        <v>8.4</v>
      </c>
      <c r="H48" s="79">
        <f t="shared" si="0"/>
        <v>243.60000000000002</v>
      </c>
      <c r="I48" s="39"/>
      <c r="J48" s="39"/>
      <c r="K48" s="80"/>
      <c r="L48" s="80"/>
      <c r="M48" s="80"/>
      <c r="N48" s="80"/>
      <c r="O48" s="80"/>
      <c r="P48" s="80"/>
      <c r="Q48" s="80" t="s">
        <v>1719</v>
      </c>
      <c r="R48" s="80"/>
      <c r="S48" s="80"/>
      <c r="T48" s="80"/>
      <c r="U48" s="80"/>
      <c r="V48" s="80"/>
      <c r="W48" s="80"/>
      <c r="X48" s="80"/>
      <c r="Y48" s="80"/>
      <c r="Z48" s="80"/>
    </row>
    <row r="49" spans="1:28" ht="25.5">
      <c r="A49" s="1" t="s">
        <v>51</v>
      </c>
      <c r="B49" s="1" t="s">
        <v>798</v>
      </c>
      <c r="C49" s="1" t="s">
        <v>819</v>
      </c>
      <c r="D49" s="1" t="s">
        <v>1341</v>
      </c>
      <c r="E49" s="2" t="s">
        <v>13</v>
      </c>
      <c r="F49" s="2">
        <v>29</v>
      </c>
      <c r="G49" s="39">
        <v>12.6</v>
      </c>
      <c r="H49" s="79">
        <f t="shared" si="0"/>
        <v>365.4</v>
      </c>
      <c r="I49" s="39"/>
      <c r="J49" s="39"/>
      <c r="K49" s="80"/>
      <c r="L49" s="80"/>
      <c r="M49" s="80"/>
      <c r="N49" s="80"/>
      <c r="O49" s="80"/>
      <c r="P49" s="80"/>
      <c r="Q49" s="80" t="s">
        <v>1719</v>
      </c>
      <c r="R49" s="80"/>
      <c r="S49" s="80"/>
      <c r="T49" s="80"/>
      <c r="U49" s="80"/>
      <c r="V49" s="80"/>
      <c r="W49" s="80"/>
      <c r="X49" s="80"/>
      <c r="Y49" s="80"/>
      <c r="Z49" s="80"/>
    </row>
    <row r="50" spans="1:28" ht="114.75">
      <c r="A50" s="1" t="s">
        <v>55</v>
      </c>
      <c r="B50" s="1" t="s">
        <v>1342</v>
      </c>
      <c r="C50" s="1" t="s">
        <v>1343</v>
      </c>
      <c r="D50" s="1" t="s">
        <v>1344</v>
      </c>
      <c r="E50" s="2" t="s">
        <v>13</v>
      </c>
      <c r="F50" s="2">
        <v>29</v>
      </c>
      <c r="G50" s="39">
        <v>8.4</v>
      </c>
      <c r="H50" s="79">
        <f t="shared" si="0"/>
        <v>243.60000000000002</v>
      </c>
      <c r="I50" s="39"/>
      <c r="J50" s="39"/>
      <c r="K50" s="80"/>
      <c r="L50" s="80"/>
      <c r="M50" s="80"/>
      <c r="N50" s="80"/>
      <c r="O50" s="80"/>
      <c r="P50" s="80"/>
      <c r="Q50" s="80" t="s">
        <v>1719</v>
      </c>
      <c r="R50" s="80"/>
      <c r="S50" s="80"/>
      <c r="T50" s="80"/>
      <c r="U50" s="80"/>
      <c r="V50" s="80"/>
      <c r="W50" s="80"/>
      <c r="X50" s="80"/>
      <c r="Y50" s="80"/>
      <c r="Z50" s="80"/>
      <c r="AA50" s="46">
        <f>H50+H51+H52+H53+H54+H55+H56</f>
        <v>4952.8499999999995</v>
      </c>
      <c r="AB50" t="s">
        <v>1759</v>
      </c>
    </row>
    <row r="51" spans="1:28" ht="63.75">
      <c r="A51" s="1" t="s">
        <v>57</v>
      </c>
      <c r="B51" s="1" t="s">
        <v>1342</v>
      </c>
      <c r="C51" s="1" t="s">
        <v>845</v>
      </c>
      <c r="D51" s="1" t="s">
        <v>1345</v>
      </c>
      <c r="E51" s="2" t="s">
        <v>13</v>
      </c>
      <c r="F51" s="2">
        <v>29</v>
      </c>
      <c r="G51" s="39">
        <v>9.4499999999999993</v>
      </c>
      <c r="H51" s="79">
        <f t="shared" si="0"/>
        <v>274.04999999999995</v>
      </c>
      <c r="I51" s="39"/>
      <c r="J51" s="39"/>
      <c r="K51" s="80"/>
      <c r="L51" s="80"/>
      <c r="M51" s="80"/>
      <c r="N51" s="80"/>
      <c r="O51" s="81"/>
      <c r="P51" s="80"/>
      <c r="Q51" s="80" t="s">
        <v>1719</v>
      </c>
      <c r="R51" s="80"/>
      <c r="S51" s="80"/>
      <c r="T51" s="80"/>
      <c r="U51" s="80"/>
      <c r="V51" s="80"/>
      <c r="W51" s="80"/>
      <c r="X51" s="80"/>
      <c r="Y51" s="80"/>
      <c r="Z51" s="80"/>
    </row>
    <row r="52" spans="1:28" ht="51">
      <c r="A52" s="69" t="s">
        <v>60</v>
      </c>
      <c r="B52" s="1" t="s">
        <v>1342</v>
      </c>
      <c r="C52" s="1" t="s">
        <v>1346</v>
      </c>
      <c r="D52" s="1" t="s">
        <v>1347</v>
      </c>
      <c r="E52" s="2" t="s">
        <v>13</v>
      </c>
      <c r="F52" s="2">
        <v>32</v>
      </c>
      <c r="G52" s="39">
        <v>8.4</v>
      </c>
      <c r="H52" s="79">
        <f t="shared" si="0"/>
        <v>268.8</v>
      </c>
      <c r="I52" s="39"/>
      <c r="J52" s="39"/>
      <c r="K52" s="80"/>
      <c r="L52" s="80"/>
      <c r="M52" s="80"/>
      <c r="N52" s="80"/>
      <c r="O52" s="80"/>
      <c r="P52" s="80" t="s">
        <v>1719</v>
      </c>
      <c r="Q52" s="80" t="s">
        <v>1719</v>
      </c>
      <c r="R52" s="80"/>
      <c r="S52" s="80"/>
      <c r="T52" s="80"/>
      <c r="U52" s="80"/>
      <c r="V52" s="80"/>
      <c r="W52" s="80"/>
      <c r="X52" s="80"/>
      <c r="Y52" s="80"/>
      <c r="Z52" s="80"/>
    </row>
    <row r="53" spans="1:28" ht="38.25">
      <c r="A53" s="1" t="s">
        <v>64</v>
      </c>
      <c r="B53" s="1" t="s">
        <v>1342</v>
      </c>
      <c r="C53" s="1" t="s">
        <v>851</v>
      </c>
      <c r="D53" s="1" t="s">
        <v>1348</v>
      </c>
      <c r="E53" s="2" t="s">
        <v>13</v>
      </c>
      <c r="F53" s="2">
        <v>32</v>
      </c>
      <c r="G53" s="39">
        <v>47.25</v>
      </c>
      <c r="H53" s="79">
        <f t="shared" si="0"/>
        <v>1512</v>
      </c>
      <c r="I53" s="39"/>
      <c r="J53" s="39"/>
      <c r="K53" s="80"/>
      <c r="L53" s="80"/>
      <c r="M53" s="80"/>
      <c r="N53" s="80"/>
      <c r="O53" s="80"/>
      <c r="P53" s="80"/>
      <c r="Q53" s="80" t="s">
        <v>1719</v>
      </c>
      <c r="R53" s="80"/>
      <c r="S53" s="80"/>
      <c r="T53" s="80"/>
      <c r="U53" s="80"/>
      <c r="V53" s="80"/>
      <c r="W53" s="80"/>
      <c r="X53" s="80"/>
      <c r="Y53" s="80"/>
      <c r="Z53" s="80"/>
    </row>
    <row r="54" spans="1:28" ht="38.25">
      <c r="A54" s="1" t="s">
        <v>68</v>
      </c>
      <c r="B54" s="1" t="s">
        <v>1342</v>
      </c>
      <c r="C54" s="1" t="s">
        <v>853</v>
      </c>
      <c r="D54" s="1" t="s">
        <v>1349</v>
      </c>
      <c r="E54" s="2" t="s">
        <v>13</v>
      </c>
      <c r="F54" s="2">
        <v>32</v>
      </c>
      <c r="G54" s="39">
        <v>27.3</v>
      </c>
      <c r="H54" s="79">
        <f t="shared" si="0"/>
        <v>873.6</v>
      </c>
      <c r="I54" s="39"/>
      <c r="J54" s="39"/>
      <c r="K54" s="80"/>
      <c r="L54" s="80"/>
      <c r="M54" s="80"/>
      <c r="N54" s="80"/>
      <c r="O54" s="80"/>
      <c r="P54" s="80"/>
      <c r="Q54" s="80" t="s">
        <v>1719</v>
      </c>
      <c r="R54" s="80"/>
      <c r="S54" s="80"/>
      <c r="T54" s="80"/>
      <c r="U54" s="80"/>
      <c r="V54" s="80"/>
      <c r="W54" s="80"/>
      <c r="X54" s="80"/>
      <c r="Y54" s="80"/>
      <c r="Z54" s="80"/>
    </row>
    <row r="55" spans="1:28" ht="38.25">
      <c r="A55" s="1" t="s">
        <v>71</v>
      </c>
      <c r="B55" s="1" t="s">
        <v>1350</v>
      </c>
      <c r="C55" s="1" t="s">
        <v>1351</v>
      </c>
      <c r="D55" s="1" t="s">
        <v>1352</v>
      </c>
      <c r="E55" s="2" t="s">
        <v>13</v>
      </c>
      <c r="F55" s="2">
        <v>32</v>
      </c>
      <c r="G55" s="39">
        <v>29.4</v>
      </c>
      <c r="H55" s="79">
        <f t="shared" si="0"/>
        <v>940.8</v>
      </c>
      <c r="I55" s="39"/>
      <c r="J55" s="39"/>
      <c r="K55" s="80"/>
      <c r="L55" s="80"/>
      <c r="M55" s="80"/>
      <c r="N55" s="80"/>
      <c r="O55" s="80"/>
      <c r="P55" s="80"/>
      <c r="Q55" s="80" t="s">
        <v>1719</v>
      </c>
      <c r="R55" s="80"/>
      <c r="S55" s="80"/>
      <c r="T55" s="80"/>
      <c r="U55" s="80"/>
      <c r="V55" s="80"/>
      <c r="W55" s="80"/>
      <c r="X55" s="80"/>
      <c r="Y55" s="80"/>
      <c r="Z55" s="80"/>
    </row>
    <row r="56" spans="1:28" ht="51">
      <c r="A56" s="1" t="s">
        <v>73</v>
      </c>
      <c r="B56" s="1" t="s">
        <v>1350</v>
      </c>
      <c r="C56" s="1" t="s">
        <v>1353</v>
      </c>
      <c r="D56" s="1" t="s">
        <v>1354</v>
      </c>
      <c r="E56" s="2" t="s">
        <v>13</v>
      </c>
      <c r="F56" s="2">
        <v>32</v>
      </c>
      <c r="G56" s="39">
        <v>26.25</v>
      </c>
      <c r="H56" s="79">
        <f t="shared" si="0"/>
        <v>840</v>
      </c>
      <c r="I56" s="39"/>
      <c r="J56" s="39"/>
      <c r="K56" s="80"/>
      <c r="L56" s="80" t="s">
        <v>1719</v>
      </c>
      <c r="M56" s="80"/>
      <c r="N56" s="80"/>
      <c r="O56" s="80"/>
      <c r="P56" s="80"/>
      <c r="Q56" s="80" t="s">
        <v>1719</v>
      </c>
      <c r="R56" s="80"/>
      <c r="S56" s="80"/>
      <c r="T56" s="80"/>
      <c r="U56" s="80"/>
      <c r="V56" s="80"/>
      <c r="W56" s="80"/>
      <c r="X56" s="80"/>
      <c r="Y56" s="80"/>
      <c r="Z56" s="80"/>
    </row>
    <row r="57" spans="1:28" ht="51">
      <c r="A57" s="1" t="s">
        <v>902</v>
      </c>
      <c r="B57" s="1" t="s">
        <v>903</v>
      </c>
      <c r="C57" s="1" t="s">
        <v>1346</v>
      </c>
      <c r="D57" s="1" t="s">
        <v>1355</v>
      </c>
      <c r="E57" s="2" t="s">
        <v>13</v>
      </c>
      <c r="F57" s="2">
        <v>32</v>
      </c>
      <c r="G57" s="39">
        <v>23.1</v>
      </c>
      <c r="H57" s="79">
        <f t="shared" si="0"/>
        <v>739.2</v>
      </c>
      <c r="I57" s="39" t="s">
        <v>1719</v>
      </c>
      <c r="J57" s="39"/>
      <c r="K57" s="80"/>
      <c r="L57" s="80"/>
      <c r="M57" s="80"/>
      <c r="N57" s="80"/>
      <c r="O57" s="80"/>
      <c r="P57" s="80" t="s">
        <v>1719</v>
      </c>
      <c r="Q57" s="80"/>
      <c r="R57" s="80"/>
      <c r="S57" s="80"/>
      <c r="T57" s="80"/>
      <c r="U57" s="80"/>
      <c r="V57" s="80"/>
      <c r="W57" s="80"/>
      <c r="X57" s="80"/>
      <c r="Y57" s="80"/>
      <c r="Z57" s="80"/>
      <c r="AA57" s="46">
        <f>H57+H58+H59+H60+H61</f>
        <v>17875.2</v>
      </c>
      <c r="AB57" t="s">
        <v>1760</v>
      </c>
    </row>
    <row r="58" spans="1:28" ht="76.5">
      <c r="A58" s="1" t="s">
        <v>516</v>
      </c>
      <c r="B58" s="1" t="s">
        <v>903</v>
      </c>
      <c r="C58" s="1" t="s">
        <v>1356</v>
      </c>
      <c r="D58" s="1" t="s">
        <v>1357</v>
      </c>
      <c r="E58" s="2" t="s">
        <v>13</v>
      </c>
      <c r="F58" s="2">
        <v>32</v>
      </c>
      <c r="G58" s="39">
        <v>21</v>
      </c>
      <c r="H58" s="79">
        <f t="shared" si="0"/>
        <v>672</v>
      </c>
      <c r="I58" s="39"/>
      <c r="J58" s="39"/>
      <c r="K58" s="80"/>
      <c r="L58" s="80" t="s">
        <v>1719</v>
      </c>
      <c r="M58" s="80"/>
      <c r="N58" s="80"/>
      <c r="O58" s="80"/>
      <c r="P58" s="80" t="s">
        <v>1719</v>
      </c>
      <c r="Q58" s="80" t="s">
        <v>1719</v>
      </c>
      <c r="R58" s="80"/>
      <c r="S58" s="80"/>
      <c r="T58" s="80" t="s">
        <v>1719</v>
      </c>
      <c r="U58" s="80"/>
      <c r="V58" s="80"/>
      <c r="W58" s="80"/>
      <c r="X58" s="80"/>
      <c r="Y58" s="80"/>
      <c r="Z58" s="80"/>
    </row>
    <row r="59" spans="1:28" ht="38.25">
      <c r="A59" s="1" t="s">
        <v>499</v>
      </c>
      <c r="B59" s="1" t="s">
        <v>903</v>
      </c>
      <c r="C59" s="1" t="s">
        <v>1358</v>
      </c>
      <c r="D59" s="1" t="s">
        <v>1359</v>
      </c>
      <c r="E59" s="2" t="s">
        <v>13</v>
      </c>
      <c r="F59" s="2">
        <v>32</v>
      </c>
      <c r="G59" s="39">
        <v>220.5</v>
      </c>
      <c r="H59" s="79">
        <f t="shared" si="0"/>
        <v>7056</v>
      </c>
      <c r="I59" s="39"/>
      <c r="J59" s="39"/>
      <c r="K59" s="80"/>
      <c r="L59" s="80" t="s">
        <v>1719</v>
      </c>
      <c r="M59" s="80"/>
      <c r="N59" s="80"/>
      <c r="O59" s="80"/>
      <c r="P59" s="80" t="s">
        <v>1719</v>
      </c>
      <c r="Q59" s="80" t="s">
        <v>1719</v>
      </c>
      <c r="R59" s="80"/>
      <c r="S59" s="80"/>
      <c r="T59" s="80" t="s">
        <v>1719</v>
      </c>
      <c r="U59" s="80"/>
      <c r="V59" s="80"/>
      <c r="W59" s="80"/>
      <c r="X59" s="80"/>
      <c r="Y59" s="80"/>
      <c r="Z59" s="80"/>
    </row>
    <row r="60" spans="1:28" ht="38.25">
      <c r="A60" s="1" t="s">
        <v>908</v>
      </c>
      <c r="B60" s="1" t="s">
        <v>903</v>
      </c>
      <c r="C60" s="1" t="s">
        <v>1360</v>
      </c>
      <c r="D60" s="1" t="s">
        <v>1361</v>
      </c>
      <c r="E60" s="2" t="s">
        <v>13</v>
      </c>
      <c r="F60" s="2">
        <v>32</v>
      </c>
      <c r="G60" s="39">
        <v>252</v>
      </c>
      <c r="H60" s="79">
        <f t="shared" si="0"/>
        <v>8064</v>
      </c>
      <c r="I60" s="39"/>
      <c r="J60" s="39"/>
      <c r="K60" s="80"/>
      <c r="L60" s="80" t="s">
        <v>1719</v>
      </c>
      <c r="M60" s="80"/>
      <c r="N60" s="80"/>
      <c r="O60" s="80"/>
      <c r="P60" s="80" t="s">
        <v>1719</v>
      </c>
      <c r="Q60" s="80" t="s">
        <v>1719</v>
      </c>
      <c r="R60" s="80"/>
      <c r="S60" s="80"/>
      <c r="T60" s="80" t="s">
        <v>1719</v>
      </c>
      <c r="U60" s="80"/>
      <c r="V60" s="80"/>
      <c r="W60" s="80"/>
      <c r="X60" s="80"/>
      <c r="Y60" s="80"/>
      <c r="Z60" s="80"/>
    </row>
    <row r="61" spans="1:28" ht="89.25">
      <c r="A61" s="1" t="s">
        <v>911</v>
      </c>
      <c r="B61" s="1" t="s">
        <v>903</v>
      </c>
      <c r="C61" s="1" t="s">
        <v>1362</v>
      </c>
      <c r="D61" s="1" t="s">
        <v>1363</v>
      </c>
      <c r="E61" s="2" t="s">
        <v>13</v>
      </c>
      <c r="F61" s="2">
        <v>32</v>
      </c>
      <c r="G61" s="39">
        <v>42</v>
      </c>
      <c r="H61" s="79">
        <f t="shared" si="0"/>
        <v>1344</v>
      </c>
      <c r="I61" s="39"/>
      <c r="J61" s="39"/>
      <c r="K61" s="80"/>
      <c r="L61" s="80"/>
      <c r="M61" s="80"/>
      <c r="N61" s="80"/>
      <c r="O61" s="80"/>
      <c r="P61" s="80" t="s">
        <v>1719</v>
      </c>
      <c r="Q61" s="80"/>
      <c r="R61" s="80"/>
      <c r="S61" s="80"/>
      <c r="T61" s="80"/>
      <c r="U61" s="80"/>
      <c r="V61" s="80"/>
      <c r="W61" s="80"/>
      <c r="X61" s="80"/>
      <c r="Y61" s="80"/>
      <c r="Z61" s="80"/>
    </row>
    <row r="62" spans="1:28" ht="114.75">
      <c r="A62" s="1" t="s">
        <v>923</v>
      </c>
      <c r="B62" s="1" t="s">
        <v>924</v>
      </c>
      <c r="C62" s="1" t="s">
        <v>1045</v>
      </c>
      <c r="D62" s="1" t="s">
        <v>1364</v>
      </c>
      <c r="E62" s="2" t="s">
        <v>13</v>
      </c>
      <c r="F62" s="2">
        <v>32</v>
      </c>
      <c r="G62" s="39">
        <v>42</v>
      </c>
      <c r="H62" s="79">
        <f t="shared" si="0"/>
        <v>1344</v>
      </c>
      <c r="I62" s="39"/>
      <c r="J62" s="39"/>
      <c r="K62" s="80"/>
      <c r="L62" s="80"/>
      <c r="M62" s="80"/>
      <c r="N62" s="80"/>
      <c r="O62" s="80"/>
      <c r="P62" s="80" t="s">
        <v>1719</v>
      </c>
      <c r="Q62" s="80"/>
      <c r="R62" s="80"/>
      <c r="S62" s="80"/>
      <c r="T62" s="80"/>
      <c r="U62" s="80"/>
      <c r="V62" s="80"/>
      <c r="W62" s="80"/>
      <c r="X62" s="80"/>
      <c r="Y62" s="80"/>
      <c r="Z62" s="80"/>
      <c r="AA62" s="46">
        <f>SUM(H62:H91)</f>
        <v>47006.399999999994</v>
      </c>
      <c r="AB62" t="s">
        <v>1761</v>
      </c>
    </row>
    <row r="63" spans="1:28" ht="63.75">
      <c r="A63" s="1" t="s">
        <v>927</v>
      </c>
      <c r="B63" s="1" t="s">
        <v>924</v>
      </c>
      <c r="C63" s="1" t="s">
        <v>1365</v>
      </c>
      <c r="D63" s="1" t="s">
        <v>1366</v>
      </c>
      <c r="E63" s="2" t="s">
        <v>13</v>
      </c>
      <c r="F63" s="2">
        <v>32</v>
      </c>
      <c r="G63" s="39" t="s">
        <v>14</v>
      </c>
      <c r="H63" s="79">
        <f t="shared" si="0"/>
        <v>0</v>
      </c>
      <c r="I63" s="39"/>
      <c r="J63" s="39"/>
      <c r="K63" s="80"/>
      <c r="L63" s="80"/>
      <c r="M63" s="80"/>
      <c r="N63" s="80"/>
      <c r="O63" s="80"/>
      <c r="P63" s="80" t="s">
        <v>1719</v>
      </c>
      <c r="Q63" s="80"/>
      <c r="R63" s="80"/>
      <c r="S63" s="80"/>
      <c r="T63" s="80"/>
      <c r="U63" s="80"/>
      <c r="V63" s="80"/>
      <c r="W63" s="80"/>
      <c r="X63" s="80"/>
      <c r="Y63" s="80" t="s">
        <v>1719</v>
      </c>
      <c r="Z63" s="80"/>
    </row>
    <row r="64" spans="1:28" ht="76.5">
      <c r="A64" s="1" t="s">
        <v>930</v>
      </c>
      <c r="B64" s="1" t="s">
        <v>924</v>
      </c>
      <c r="C64" s="1" t="s">
        <v>999</v>
      </c>
      <c r="D64" s="1" t="s">
        <v>1367</v>
      </c>
      <c r="E64" s="2" t="s">
        <v>13</v>
      </c>
      <c r="F64" s="2">
        <v>32</v>
      </c>
      <c r="G64" s="39">
        <v>48.3</v>
      </c>
      <c r="H64" s="79">
        <f t="shared" si="0"/>
        <v>1545.6</v>
      </c>
      <c r="I64" s="39"/>
      <c r="J64" s="39"/>
      <c r="K64" s="80"/>
      <c r="L64" s="80"/>
      <c r="M64" s="80"/>
      <c r="N64" s="80"/>
      <c r="O64" s="80"/>
      <c r="P64" s="80" t="s">
        <v>1719</v>
      </c>
      <c r="Q64" s="80"/>
      <c r="R64" s="80"/>
      <c r="S64" s="80"/>
      <c r="T64" s="80"/>
      <c r="U64" s="80"/>
      <c r="V64" s="80"/>
      <c r="W64" s="80"/>
      <c r="X64" s="80"/>
      <c r="Y64" s="80"/>
      <c r="Z64" s="80"/>
    </row>
    <row r="65" spans="1:26" ht="38.25">
      <c r="A65" s="1" t="s">
        <v>933</v>
      </c>
      <c r="B65" s="1" t="s">
        <v>924</v>
      </c>
      <c r="C65" s="1" t="s">
        <v>999</v>
      </c>
      <c r="D65" s="1" t="s">
        <v>1368</v>
      </c>
      <c r="E65" s="2" t="s">
        <v>13</v>
      </c>
      <c r="F65" s="2">
        <v>32</v>
      </c>
      <c r="G65" s="39">
        <v>57.75</v>
      </c>
      <c r="H65" s="79">
        <f t="shared" si="0"/>
        <v>1848</v>
      </c>
      <c r="I65" s="39"/>
      <c r="J65" s="39"/>
      <c r="K65" s="80"/>
      <c r="L65" s="80"/>
      <c r="M65" s="80"/>
      <c r="N65" s="80"/>
      <c r="O65" s="80"/>
      <c r="P65" s="80" t="s">
        <v>1719</v>
      </c>
      <c r="Q65" s="80"/>
      <c r="R65" s="80"/>
      <c r="S65" s="80"/>
      <c r="T65" s="80"/>
      <c r="U65" s="80"/>
      <c r="V65" s="80"/>
      <c r="W65" s="80"/>
      <c r="X65" s="80"/>
      <c r="Y65" s="80"/>
      <c r="Z65" s="80"/>
    </row>
    <row r="66" spans="1:26" ht="38.25">
      <c r="A66" s="1" t="s">
        <v>936</v>
      </c>
      <c r="B66" s="1" t="s">
        <v>924</v>
      </c>
      <c r="C66" s="1" t="s">
        <v>999</v>
      </c>
      <c r="D66" s="1" t="s">
        <v>1369</v>
      </c>
      <c r="E66" s="2" t="s">
        <v>13</v>
      </c>
      <c r="F66" s="2">
        <v>32</v>
      </c>
      <c r="G66" s="39">
        <v>56.7</v>
      </c>
      <c r="H66" s="79">
        <f t="shared" si="0"/>
        <v>1814.4</v>
      </c>
      <c r="I66" s="39"/>
      <c r="J66" s="39"/>
      <c r="K66" s="80"/>
      <c r="L66" s="80"/>
      <c r="M66" s="80"/>
      <c r="N66" s="80"/>
      <c r="O66" s="80"/>
      <c r="P66" s="80" t="s">
        <v>1719</v>
      </c>
      <c r="Q66" s="80"/>
      <c r="R66" s="80"/>
      <c r="S66" s="80"/>
      <c r="T66" s="80"/>
      <c r="U66" s="80"/>
      <c r="V66" s="80"/>
      <c r="W66" s="80"/>
      <c r="X66" s="80"/>
      <c r="Y66" s="80"/>
      <c r="Z66" s="80"/>
    </row>
    <row r="67" spans="1:26" ht="38.25">
      <c r="A67" s="1" t="s">
        <v>939</v>
      </c>
      <c r="B67" s="1" t="s">
        <v>924</v>
      </c>
      <c r="C67" s="1" t="s">
        <v>1370</v>
      </c>
      <c r="D67" s="1" t="s">
        <v>1371</v>
      </c>
      <c r="E67" s="2" t="s">
        <v>13</v>
      </c>
      <c r="F67" s="2">
        <v>32</v>
      </c>
      <c r="G67" s="39">
        <v>6.3</v>
      </c>
      <c r="H67" s="79">
        <f t="shared" ref="H67:H91" si="1">F67*G67</f>
        <v>201.6</v>
      </c>
      <c r="I67" s="39"/>
      <c r="J67" s="39"/>
      <c r="K67" s="80"/>
      <c r="L67" s="80"/>
      <c r="M67" s="80"/>
      <c r="N67" s="80"/>
      <c r="O67" s="80"/>
      <c r="P67" s="80" t="s">
        <v>1719</v>
      </c>
      <c r="Q67" s="80"/>
      <c r="R67" s="80"/>
      <c r="S67" s="80"/>
      <c r="T67" s="80"/>
      <c r="U67" s="80"/>
      <c r="V67" s="80"/>
      <c r="W67" s="80"/>
      <c r="X67" s="80"/>
      <c r="Y67" s="80"/>
      <c r="Z67" s="80"/>
    </row>
    <row r="68" spans="1:26" ht="38.25">
      <c r="A68" s="1" t="s">
        <v>942</v>
      </c>
      <c r="B68" s="1" t="s">
        <v>924</v>
      </c>
      <c r="C68" s="1" t="s">
        <v>1372</v>
      </c>
      <c r="D68" s="1" t="s">
        <v>1373</v>
      </c>
      <c r="E68" s="2" t="s">
        <v>13</v>
      </c>
      <c r="F68" s="2">
        <v>32</v>
      </c>
      <c r="G68" s="39">
        <v>47.25</v>
      </c>
      <c r="H68" s="79">
        <f t="shared" si="1"/>
        <v>1512</v>
      </c>
      <c r="I68" s="39"/>
      <c r="J68" s="39"/>
      <c r="K68" s="80"/>
      <c r="L68" s="80"/>
      <c r="M68" s="80"/>
      <c r="N68" s="80"/>
      <c r="O68" s="80"/>
      <c r="P68" s="80" t="s">
        <v>1719</v>
      </c>
      <c r="Q68" s="80"/>
      <c r="R68" s="80"/>
      <c r="S68" s="80"/>
      <c r="T68" s="80"/>
      <c r="U68" s="80"/>
      <c r="V68" s="80"/>
      <c r="W68" s="80"/>
      <c r="X68" s="80"/>
      <c r="Y68" s="80"/>
      <c r="Z68" s="80"/>
    </row>
    <row r="69" spans="1:26" ht="38.25">
      <c r="A69" s="1" t="s">
        <v>945</v>
      </c>
      <c r="B69" s="1" t="s">
        <v>924</v>
      </c>
      <c r="C69" s="1" t="s">
        <v>1372</v>
      </c>
      <c r="D69" s="1" t="s">
        <v>1374</v>
      </c>
      <c r="E69" s="2" t="s">
        <v>13</v>
      </c>
      <c r="F69" s="2">
        <v>32</v>
      </c>
      <c r="G69" s="39">
        <v>10.5</v>
      </c>
      <c r="H69" s="79">
        <f t="shared" si="1"/>
        <v>336</v>
      </c>
      <c r="I69" s="39"/>
      <c r="J69" s="39"/>
      <c r="K69" s="80"/>
      <c r="L69" s="80"/>
      <c r="M69" s="80"/>
      <c r="N69" s="80"/>
      <c r="O69" s="80"/>
      <c r="P69" s="80" t="s">
        <v>1719</v>
      </c>
      <c r="Q69" s="80"/>
      <c r="R69" s="80"/>
      <c r="S69" s="80"/>
      <c r="T69" s="80"/>
      <c r="U69" s="80"/>
      <c r="V69" s="80"/>
      <c r="W69" s="80"/>
      <c r="X69" s="80"/>
      <c r="Y69" s="80"/>
      <c r="Z69" s="80"/>
    </row>
    <row r="70" spans="1:26" ht="38.25">
      <c r="A70" s="1" t="s">
        <v>948</v>
      </c>
      <c r="B70" s="1" t="s">
        <v>924</v>
      </c>
      <c r="C70" s="1" t="s">
        <v>1372</v>
      </c>
      <c r="D70" s="1" t="s">
        <v>1375</v>
      </c>
      <c r="E70" s="2" t="s">
        <v>13</v>
      </c>
      <c r="F70" s="2">
        <v>32</v>
      </c>
      <c r="G70" s="39">
        <v>11.55</v>
      </c>
      <c r="H70" s="79">
        <f t="shared" si="1"/>
        <v>369.6</v>
      </c>
      <c r="I70" s="39"/>
      <c r="J70" s="39"/>
      <c r="K70" s="80"/>
      <c r="L70" s="80"/>
      <c r="M70" s="80"/>
      <c r="N70" s="80"/>
      <c r="O70" s="80"/>
      <c r="P70" s="80" t="s">
        <v>1719</v>
      </c>
      <c r="Q70" s="80"/>
      <c r="R70" s="80"/>
      <c r="S70" s="80"/>
      <c r="T70" s="80"/>
      <c r="U70" s="80"/>
      <c r="V70" s="80"/>
      <c r="W70" s="80"/>
      <c r="X70" s="80"/>
      <c r="Y70" s="80"/>
      <c r="Z70" s="80"/>
    </row>
    <row r="71" spans="1:26" ht="38.25">
      <c r="A71" s="1" t="s">
        <v>950</v>
      </c>
      <c r="B71" s="1" t="s">
        <v>924</v>
      </c>
      <c r="C71" s="1" t="s">
        <v>1372</v>
      </c>
      <c r="D71" s="1" t="s">
        <v>1376</v>
      </c>
      <c r="E71" s="2" t="s">
        <v>13</v>
      </c>
      <c r="F71" s="2">
        <v>32</v>
      </c>
      <c r="G71" s="39">
        <v>577.5</v>
      </c>
      <c r="H71" s="79">
        <f t="shared" si="1"/>
        <v>18480</v>
      </c>
      <c r="I71" s="39"/>
      <c r="J71" s="39"/>
      <c r="K71" s="80"/>
      <c r="L71" s="80"/>
      <c r="M71" s="80"/>
      <c r="N71" s="80"/>
      <c r="O71" s="80"/>
      <c r="P71" s="80" t="s">
        <v>1719</v>
      </c>
      <c r="Q71" s="80"/>
      <c r="R71" s="80"/>
      <c r="S71" s="80"/>
      <c r="T71" s="80"/>
      <c r="U71" s="80"/>
      <c r="V71" s="80"/>
      <c r="W71" s="80"/>
      <c r="X71" s="80"/>
      <c r="Y71" s="80"/>
      <c r="Z71" s="80"/>
    </row>
    <row r="72" spans="1:26" ht="38.25">
      <c r="A72" s="1" t="s">
        <v>952</v>
      </c>
      <c r="B72" s="1" t="s">
        <v>924</v>
      </c>
      <c r="C72" s="1" t="s">
        <v>1372</v>
      </c>
      <c r="D72" s="1" t="s">
        <v>1377</v>
      </c>
      <c r="E72" s="2" t="s">
        <v>13</v>
      </c>
      <c r="F72" s="2">
        <v>32</v>
      </c>
      <c r="G72" s="39">
        <v>25.2</v>
      </c>
      <c r="H72" s="79">
        <f t="shared" si="1"/>
        <v>806.4</v>
      </c>
      <c r="I72" s="39"/>
      <c r="J72" s="39"/>
      <c r="K72" s="80"/>
      <c r="L72" s="80"/>
      <c r="M72" s="80"/>
      <c r="N72" s="80"/>
      <c r="O72" s="80"/>
      <c r="P72" s="80" t="s">
        <v>1719</v>
      </c>
      <c r="Q72" s="80"/>
      <c r="R72" s="80"/>
      <c r="S72" s="80"/>
      <c r="T72" s="80"/>
      <c r="U72" s="80"/>
      <c r="V72" s="80"/>
      <c r="W72" s="80"/>
      <c r="X72" s="80"/>
      <c r="Y72" s="80"/>
      <c r="Z72" s="80"/>
    </row>
    <row r="73" spans="1:26" ht="38.25">
      <c r="A73" s="1" t="s">
        <v>955</v>
      </c>
      <c r="B73" s="1" t="s">
        <v>924</v>
      </c>
      <c r="C73" s="1" t="s">
        <v>1372</v>
      </c>
      <c r="D73" s="1" t="s">
        <v>1378</v>
      </c>
      <c r="E73" s="2" t="s">
        <v>13</v>
      </c>
      <c r="F73" s="2">
        <v>32</v>
      </c>
      <c r="G73" s="39">
        <v>27.3</v>
      </c>
      <c r="H73" s="79">
        <f t="shared" si="1"/>
        <v>873.6</v>
      </c>
      <c r="I73" s="39"/>
      <c r="J73" s="39"/>
      <c r="K73" s="80"/>
      <c r="L73" s="80"/>
      <c r="M73" s="80"/>
      <c r="N73" s="80"/>
      <c r="O73" s="80"/>
      <c r="P73" s="80" t="s">
        <v>1719</v>
      </c>
      <c r="Q73" s="80"/>
      <c r="R73" s="80"/>
      <c r="S73" s="80"/>
      <c r="T73" s="80"/>
      <c r="U73" s="80"/>
      <c r="V73" s="80"/>
      <c r="W73" s="80"/>
      <c r="X73" s="80"/>
      <c r="Y73" s="80"/>
      <c r="Z73" s="80"/>
    </row>
    <row r="74" spans="1:26" ht="76.5">
      <c r="A74" s="1" t="s">
        <v>957</v>
      </c>
      <c r="B74" s="1" t="s">
        <v>924</v>
      </c>
      <c r="C74" s="1" t="s">
        <v>1379</v>
      </c>
      <c r="D74" s="1" t="s">
        <v>1380</v>
      </c>
      <c r="E74" s="2" t="s">
        <v>13</v>
      </c>
      <c r="F74" s="2">
        <v>32</v>
      </c>
      <c r="G74" s="39">
        <v>26.25</v>
      </c>
      <c r="H74" s="79">
        <f t="shared" si="1"/>
        <v>840</v>
      </c>
      <c r="I74" s="39"/>
      <c r="J74" s="39"/>
      <c r="K74" s="80"/>
      <c r="L74" s="80"/>
      <c r="M74" s="80"/>
      <c r="N74" s="80"/>
      <c r="O74" s="80"/>
      <c r="P74" s="80" t="s">
        <v>1719</v>
      </c>
      <c r="Q74" s="80"/>
      <c r="R74" s="80"/>
      <c r="S74" s="80"/>
      <c r="T74" s="80"/>
      <c r="U74" s="80"/>
      <c r="V74" s="80"/>
      <c r="W74" s="80"/>
      <c r="X74" s="80"/>
      <c r="Y74" s="80"/>
      <c r="Z74" s="80"/>
    </row>
    <row r="75" spans="1:26" ht="63.75">
      <c r="A75" s="1" t="s">
        <v>961</v>
      </c>
      <c r="B75" s="1" t="s">
        <v>924</v>
      </c>
      <c r="C75" s="1" t="s">
        <v>1381</v>
      </c>
      <c r="D75" s="1" t="s">
        <v>1382</v>
      </c>
      <c r="E75" s="2" t="s">
        <v>13</v>
      </c>
      <c r="F75" s="2">
        <v>32</v>
      </c>
      <c r="G75" s="39">
        <v>157.5</v>
      </c>
      <c r="H75" s="79">
        <f t="shared" si="1"/>
        <v>5040</v>
      </c>
      <c r="I75" s="39"/>
      <c r="J75" s="39"/>
      <c r="K75" s="80"/>
      <c r="L75" s="80"/>
      <c r="M75" s="80"/>
      <c r="N75" s="80"/>
      <c r="O75" s="80"/>
      <c r="P75" s="80" t="s">
        <v>1719</v>
      </c>
      <c r="Q75" s="80"/>
      <c r="R75" s="80"/>
      <c r="S75" s="80"/>
      <c r="T75" s="80"/>
      <c r="U75" s="80"/>
      <c r="V75" s="80"/>
      <c r="W75" s="80"/>
      <c r="X75" s="80"/>
      <c r="Y75" s="80"/>
      <c r="Z75" s="80"/>
    </row>
    <row r="76" spans="1:26" ht="38.25">
      <c r="A76" s="1" t="s">
        <v>963</v>
      </c>
      <c r="B76" s="1" t="s">
        <v>924</v>
      </c>
      <c r="C76" s="1" t="s">
        <v>1381</v>
      </c>
      <c r="D76" s="1" t="s">
        <v>1383</v>
      </c>
      <c r="E76" s="2" t="s">
        <v>13</v>
      </c>
      <c r="F76" s="2">
        <v>32</v>
      </c>
      <c r="G76" s="39">
        <v>22.05</v>
      </c>
      <c r="H76" s="79">
        <f t="shared" si="1"/>
        <v>705.6</v>
      </c>
      <c r="I76" s="39"/>
      <c r="J76" s="39"/>
      <c r="K76" s="80"/>
      <c r="L76" s="80"/>
      <c r="M76" s="80"/>
      <c r="N76" s="80"/>
      <c r="O76" s="80"/>
      <c r="P76" s="80" t="s">
        <v>1719</v>
      </c>
      <c r="Q76" s="80"/>
      <c r="R76" s="80"/>
      <c r="S76" s="80"/>
      <c r="T76" s="80"/>
      <c r="U76" s="80"/>
      <c r="V76" s="80"/>
      <c r="W76" s="80"/>
      <c r="X76" s="80"/>
      <c r="Y76" s="80"/>
      <c r="Z76" s="80"/>
    </row>
    <row r="77" spans="1:26" ht="38.25">
      <c r="A77" s="1" t="s">
        <v>966</v>
      </c>
      <c r="B77" s="1" t="s">
        <v>924</v>
      </c>
      <c r="C77" s="1" t="s">
        <v>1381</v>
      </c>
      <c r="D77" s="1" t="s">
        <v>1384</v>
      </c>
      <c r="E77" s="2" t="s">
        <v>13</v>
      </c>
      <c r="F77" s="2">
        <v>32</v>
      </c>
      <c r="G77" s="39">
        <v>22.05</v>
      </c>
      <c r="H77" s="79">
        <f t="shared" si="1"/>
        <v>705.6</v>
      </c>
      <c r="I77" s="39"/>
      <c r="J77" s="39"/>
      <c r="K77" s="80"/>
      <c r="L77" s="80"/>
      <c r="M77" s="80"/>
      <c r="N77" s="80"/>
      <c r="O77" s="80"/>
      <c r="P77" s="80" t="s">
        <v>1719</v>
      </c>
      <c r="Q77" s="80"/>
      <c r="R77" s="80"/>
      <c r="S77" s="80"/>
      <c r="T77" s="80"/>
      <c r="U77" s="80"/>
      <c r="V77" s="80"/>
      <c r="W77" s="80"/>
      <c r="X77" s="80"/>
      <c r="Y77" s="80"/>
      <c r="Z77" s="80"/>
    </row>
    <row r="78" spans="1:26" ht="38.25">
      <c r="A78" s="1" t="s">
        <v>967</v>
      </c>
      <c r="B78" s="1" t="s">
        <v>924</v>
      </c>
      <c r="C78" s="1" t="s">
        <v>1381</v>
      </c>
      <c r="D78" s="1" t="s">
        <v>1385</v>
      </c>
      <c r="E78" s="2" t="s">
        <v>13</v>
      </c>
      <c r="F78" s="2">
        <v>32</v>
      </c>
      <c r="G78" s="39">
        <v>26.25</v>
      </c>
      <c r="H78" s="79">
        <f t="shared" si="1"/>
        <v>840</v>
      </c>
      <c r="I78" s="39"/>
      <c r="J78" s="39"/>
      <c r="K78" s="80"/>
      <c r="L78" s="80"/>
      <c r="M78" s="80"/>
      <c r="N78" s="80"/>
      <c r="O78" s="80"/>
      <c r="P78" s="80" t="s">
        <v>1719</v>
      </c>
      <c r="Q78" s="80"/>
      <c r="R78" s="80"/>
      <c r="S78" s="80"/>
      <c r="T78" s="80"/>
      <c r="U78" s="80"/>
      <c r="V78" s="80"/>
      <c r="W78" s="80"/>
      <c r="X78" s="80"/>
      <c r="Y78" s="80"/>
      <c r="Z78" s="80"/>
    </row>
    <row r="79" spans="1:26" ht="38.25">
      <c r="A79" s="1" t="s">
        <v>970</v>
      </c>
      <c r="B79" s="1" t="s">
        <v>924</v>
      </c>
      <c r="C79" s="1" t="s">
        <v>1381</v>
      </c>
      <c r="D79" s="1" t="s">
        <v>1386</v>
      </c>
      <c r="E79" s="2" t="s">
        <v>13</v>
      </c>
      <c r="F79" s="2">
        <v>32</v>
      </c>
      <c r="G79" s="39">
        <v>26.25</v>
      </c>
      <c r="H79" s="79">
        <f t="shared" si="1"/>
        <v>840</v>
      </c>
      <c r="I79" s="39"/>
      <c r="J79" s="39"/>
      <c r="K79" s="80"/>
      <c r="L79" s="80"/>
      <c r="M79" s="80"/>
      <c r="N79" s="80"/>
      <c r="O79" s="80"/>
      <c r="P79" s="80" t="s">
        <v>1719</v>
      </c>
      <c r="Q79" s="80"/>
      <c r="R79" s="80"/>
      <c r="S79" s="80"/>
      <c r="T79" s="80"/>
      <c r="U79" s="80"/>
      <c r="V79" s="80"/>
      <c r="W79" s="80"/>
      <c r="X79" s="80"/>
      <c r="Y79" s="80"/>
      <c r="Z79" s="80"/>
    </row>
    <row r="80" spans="1:26" ht="38.25">
      <c r="A80" s="1" t="s">
        <v>973</v>
      </c>
      <c r="B80" s="1" t="s">
        <v>924</v>
      </c>
      <c r="C80" s="1" t="s">
        <v>1381</v>
      </c>
      <c r="D80" s="1" t="s">
        <v>1387</v>
      </c>
      <c r="E80" s="2" t="s">
        <v>13</v>
      </c>
      <c r="F80" s="2">
        <v>32</v>
      </c>
      <c r="G80" s="39">
        <v>26.25</v>
      </c>
      <c r="H80" s="79">
        <f t="shared" si="1"/>
        <v>840</v>
      </c>
      <c r="I80" s="39"/>
      <c r="J80" s="39"/>
      <c r="K80" s="80"/>
      <c r="L80" s="80"/>
      <c r="M80" s="80"/>
      <c r="N80" s="80"/>
      <c r="O80" s="80"/>
      <c r="P80" s="80" t="s">
        <v>1719</v>
      </c>
      <c r="Q80" s="80"/>
      <c r="R80" s="80"/>
      <c r="S80" s="80"/>
      <c r="T80" s="80"/>
      <c r="U80" s="80"/>
      <c r="V80" s="80"/>
      <c r="W80" s="80"/>
      <c r="X80" s="80"/>
      <c r="Y80" s="80"/>
      <c r="Z80" s="80"/>
    </row>
    <row r="81" spans="1:26" ht="38.25">
      <c r="A81" s="1" t="s">
        <v>976</v>
      </c>
      <c r="B81" s="1" t="s">
        <v>924</v>
      </c>
      <c r="C81" s="1" t="s">
        <v>1381</v>
      </c>
      <c r="D81" s="1" t="s">
        <v>1388</v>
      </c>
      <c r="E81" s="2" t="s">
        <v>13</v>
      </c>
      <c r="F81" s="2">
        <v>32</v>
      </c>
      <c r="G81" s="39">
        <v>10.5</v>
      </c>
      <c r="H81" s="79">
        <f t="shared" si="1"/>
        <v>336</v>
      </c>
      <c r="I81" s="39"/>
      <c r="J81" s="39"/>
      <c r="K81" s="80"/>
      <c r="L81" s="80"/>
      <c r="M81" s="80"/>
      <c r="N81" s="80"/>
      <c r="O81" s="80"/>
      <c r="P81" s="80" t="s">
        <v>1719</v>
      </c>
      <c r="Q81" s="80"/>
      <c r="R81" s="80"/>
      <c r="S81" s="80"/>
      <c r="T81" s="80"/>
      <c r="U81" s="80"/>
      <c r="V81" s="80"/>
      <c r="W81" s="80"/>
      <c r="X81" s="80"/>
      <c r="Y81" s="80"/>
      <c r="Z81" s="80"/>
    </row>
    <row r="82" spans="1:26" ht="38.25">
      <c r="A82" s="1" t="s">
        <v>978</v>
      </c>
      <c r="B82" s="1" t="s">
        <v>924</v>
      </c>
      <c r="C82" s="1" t="s">
        <v>1381</v>
      </c>
      <c r="D82" s="1" t="s">
        <v>1389</v>
      </c>
      <c r="E82" s="2" t="s">
        <v>13</v>
      </c>
      <c r="F82" s="2">
        <v>32</v>
      </c>
      <c r="G82" s="39">
        <v>10.5</v>
      </c>
      <c r="H82" s="79">
        <f t="shared" si="1"/>
        <v>336</v>
      </c>
      <c r="I82" s="39"/>
      <c r="J82" s="39"/>
      <c r="K82" s="80"/>
      <c r="L82" s="80"/>
      <c r="M82" s="80"/>
      <c r="N82" s="80"/>
      <c r="O82" s="80"/>
      <c r="P82" s="80" t="s">
        <v>1719</v>
      </c>
      <c r="Q82" s="80"/>
      <c r="R82" s="80"/>
      <c r="S82" s="80"/>
      <c r="T82" s="80"/>
      <c r="U82" s="80"/>
      <c r="V82" s="80"/>
      <c r="W82" s="80"/>
      <c r="X82" s="80"/>
      <c r="Y82" s="80"/>
      <c r="Z82" s="80"/>
    </row>
    <row r="83" spans="1:26" ht="38.25">
      <c r="A83" s="1" t="s">
        <v>980</v>
      </c>
      <c r="B83" s="1" t="s">
        <v>924</v>
      </c>
      <c r="C83" s="1" t="s">
        <v>1381</v>
      </c>
      <c r="D83" s="1" t="s">
        <v>1390</v>
      </c>
      <c r="E83" s="2" t="s">
        <v>13</v>
      </c>
      <c r="F83" s="2">
        <v>32</v>
      </c>
      <c r="G83" s="39">
        <v>10.5</v>
      </c>
      <c r="H83" s="79">
        <f t="shared" si="1"/>
        <v>336</v>
      </c>
      <c r="I83" s="39"/>
      <c r="J83" s="39"/>
      <c r="K83" s="80"/>
      <c r="L83" s="80"/>
      <c r="M83" s="80"/>
      <c r="N83" s="80"/>
      <c r="O83" s="80"/>
      <c r="P83" s="80" t="s">
        <v>1719</v>
      </c>
      <c r="Q83" s="80"/>
      <c r="R83" s="80"/>
      <c r="S83" s="80"/>
      <c r="T83" s="80"/>
      <c r="U83" s="80"/>
      <c r="V83" s="80"/>
      <c r="W83" s="80"/>
      <c r="X83" s="80"/>
      <c r="Y83" s="80"/>
      <c r="Z83" s="80"/>
    </row>
    <row r="84" spans="1:26" ht="38.25">
      <c r="A84" s="1" t="s">
        <v>982</v>
      </c>
      <c r="B84" s="1" t="s">
        <v>924</v>
      </c>
      <c r="C84" s="1" t="s">
        <v>1381</v>
      </c>
      <c r="D84" s="1" t="s">
        <v>1391</v>
      </c>
      <c r="E84" s="2" t="s">
        <v>13</v>
      </c>
      <c r="F84" s="2">
        <v>32</v>
      </c>
      <c r="G84" s="39">
        <v>10.5</v>
      </c>
      <c r="H84" s="79">
        <f t="shared" si="1"/>
        <v>336</v>
      </c>
      <c r="I84" s="39"/>
      <c r="J84" s="39"/>
      <c r="K84" s="80"/>
      <c r="L84" s="80"/>
      <c r="M84" s="80"/>
      <c r="N84" s="80"/>
      <c r="O84" s="80"/>
      <c r="P84" s="80" t="s">
        <v>1719</v>
      </c>
      <c r="Q84" s="80"/>
      <c r="R84" s="80"/>
      <c r="S84" s="80"/>
      <c r="T84" s="80"/>
      <c r="U84" s="80"/>
      <c r="V84" s="80"/>
      <c r="W84" s="80"/>
      <c r="X84" s="80"/>
      <c r="Y84" s="80"/>
      <c r="Z84" s="80"/>
    </row>
    <row r="85" spans="1:26" ht="38.25">
      <c r="A85" s="1" t="s">
        <v>984</v>
      </c>
      <c r="B85" s="1" t="s">
        <v>924</v>
      </c>
      <c r="C85" s="1" t="s">
        <v>1381</v>
      </c>
      <c r="D85" s="1" t="s">
        <v>1392</v>
      </c>
      <c r="E85" s="2" t="s">
        <v>13</v>
      </c>
      <c r="F85" s="2">
        <v>32</v>
      </c>
      <c r="G85" s="39">
        <v>5.25</v>
      </c>
      <c r="H85" s="79">
        <f t="shared" si="1"/>
        <v>168</v>
      </c>
      <c r="I85" s="39"/>
      <c r="J85" s="39"/>
      <c r="K85" s="80"/>
      <c r="L85" s="80"/>
      <c r="M85" s="80"/>
      <c r="N85" s="80"/>
      <c r="O85" s="80"/>
      <c r="P85" s="80" t="s">
        <v>1719</v>
      </c>
      <c r="Q85" s="80"/>
      <c r="R85" s="80"/>
      <c r="S85" s="80"/>
      <c r="T85" s="80"/>
      <c r="U85" s="80"/>
      <c r="V85" s="80"/>
      <c r="W85" s="80"/>
      <c r="X85" s="80"/>
      <c r="Y85" s="80"/>
      <c r="Z85" s="80"/>
    </row>
    <row r="86" spans="1:26" ht="38.25">
      <c r="A86" s="1" t="s">
        <v>986</v>
      </c>
      <c r="B86" s="1" t="s">
        <v>924</v>
      </c>
      <c r="C86" s="1" t="s">
        <v>1381</v>
      </c>
      <c r="D86" s="1" t="s">
        <v>1393</v>
      </c>
      <c r="E86" s="2" t="s">
        <v>13</v>
      </c>
      <c r="F86" s="2">
        <v>32</v>
      </c>
      <c r="G86" s="39">
        <v>15.75</v>
      </c>
      <c r="H86" s="79">
        <f t="shared" si="1"/>
        <v>504</v>
      </c>
      <c r="I86" s="39"/>
      <c r="J86" s="39"/>
      <c r="K86" s="80"/>
      <c r="L86" s="80"/>
      <c r="M86" s="80"/>
      <c r="N86" s="80"/>
      <c r="O86" s="80"/>
      <c r="P86" s="80" t="s">
        <v>1719</v>
      </c>
      <c r="Q86" s="80"/>
      <c r="R86" s="80"/>
      <c r="S86" s="80"/>
      <c r="T86" s="80"/>
      <c r="U86" s="80"/>
      <c r="V86" s="80"/>
      <c r="W86" s="80"/>
      <c r="X86" s="80"/>
      <c r="Y86" s="80"/>
      <c r="Z86" s="80"/>
    </row>
    <row r="87" spans="1:26" ht="38.25">
      <c r="A87" s="1" t="s">
        <v>990</v>
      </c>
      <c r="B87" s="1" t="s">
        <v>924</v>
      </c>
      <c r="C87" s="1" t="s">
        <v>1394</v>
      </c>
      <c r="D87" s="1" t="s">
        <v>1395</v>
      </c>
      <c r="E87" s="2" t="s">
        <v>13</v>
      </c>
      <c r="F87" s="2">
        <v>32</v>
      </c>
      <c r="G87" s="39">
        <v>21</v>
      </c>
      <c r="H87" s="79">
        <f t="shared" si="1"/>
        <v>672</v>
      </c>
      <c r="I87" s="39"/>
      <c r="J87" s="39"/>
      <c r="K87" s="80"/>
      <c r="L87" s="80"/>
      <c r="M87" s="80"/>
      <c r="N87" s="80"/>
      <c r="O87" s="80"/>
      <c r="P87" s="80" t="s">
        <v>1719</v>
      </c>
      <c r="Q87" s="80"/>
      <c r="R87" s="80"/>
      <c r="S87" s="80"/>
      <c r="T87" s="80"/>
      <c r="U87" s="80"/>
      <c r="V87" s="80"/>
      <c r="W87" s="80"/>
      <c r="X87" s="80"/>
      <c r="Y87" s="80"/>
      <c r="Z87" s="80"/>
    </row>
    <row r="88" spans="1:26" ht="102">
      <c r="A88" s="1" t="s">
        <v>992</v>
      </c>
      <c r="B88" s="1" t="s">
        <v>924</v>
      </c>
      <c r="C88" s="1" t="s">
        <v>1058</v>
      </c>
      <c r="D88" s="1" t="s">
        <v>1396</v>
      </c>
      <c r="E88" s="2" t="s">
        <v>13</v>
      </c>
      <c r="F88" s="2">
        <v>32</v>
      </c>
      <c r="G88" s="39">
        <v>26.25</v>
      </c>
      <c r="H88" s="79">
        <f t="shared" si="1"/>
        <v>840</v>
      </c>
      <c r="I88" s="39"/>
      <c r="J88" s="39"/>
      <c r="K88" s="80"/>
      <c r="L88" s="80"/>
      <c r="M88" s="80"/>
      <c r="N88" s="80"/>
      <c r="O88" s="80"/>
      <c r="P88" s="80" t="s">
        <v>1719</v>
      </c>
      <c r="Q88" s="80"/>
      <c r="R88" s="80"/>
      <c r="S88" s="80"/>
      <c r="T88" s="80"/>
      <c r="U88" s="80"/>
      <c r="V88" s="80"/>
      <c r="W88" s="80"/>
      <c r="X88" s="80"/>
      <c r="Y88" s="80"/>
      <c r="Z88" s="80"/>
    </row>
    <row r="89" spans="1:26" ht="51">
      <c r="A89" s="1" t="s">
        <v>995</v>
      </c>
      <c r="B89" s="1" t="s">
        <v>924</v>
      </c>
      <c r="C89" s="1" t="s">
        <v>1397</v>
      </c>
      <c r="D89" s="1" t="s">
        <v>1398</v>
      </c>
      <c r="E89" s="2" t="s">
        <v>13</v>
      </c>
      <c r="F89" s="2">
        <v>32</v>
      </c>
      <c r="G89" s="39">
        <v>47.25</v>
      </c>
      <c r="H89" s="79">
        <f t="shared" si="1"/>
        <v>1512</v>
      </c>
      <c r="I89" s="39"/>
      <c r="J89" s="39"/>
      <c r="K89" s="80"/>
      <c r="L89" s="80"/>
      <c r="M89" s="80"/>
      <c r="N89" s="80"/>
      <c r="O89" s="80"/>
      <c r="P89" s="80" t="s">
        <v>1719</v>
      </c>
      <c r="Q89" s="80"/>
      <c r="R89" s="80"/>
      <c r="S89" s="80"/>
      <c r="T89" s="80"/>
      <c r="U89" s="80"/>
      <c r="V89" s="80"/>
      <c r="W89" s="80"/>
      <c r="X89" s="80"/>
      <c r="Y89" s="80"/>
      <c r="Z89" s="80" t="s">
        <v>1719</v>
      </c>
    </row>
    <row r="90" spans="1:26" ht="63.75">
      <c r="A90" s="1" t="s">
        <v>898</v>
      </c>
      <c r="B90" s="1" t="s">
        <v>1399</v>
      </c>
      <c r="C90" s="1" t="s">
        <v>1400</v>
      </c>
      <c r="D90" s="1" t="s">
        <v>1401</v>
      </c>
      <c r="E90" s="2" t="s">
        <v>13</v>
      </c>
      <c r="F90" s="2">
        <v>32</v>
      </c>
      <c r="G90" s="39">
        <v>47.25</v>
      </c>
      <c r="H90" s="79">
        <f t="shared" si="1"/>
        <v>1512</v>
      </c>
      <c r="I90" s="39"/>
      <c r="J90" s="39"/>
      <c r="K90" s="80"/>
      <c r="L90" s="80"/>
      <c r="M90" s="80"/>
      <c r="N90" s="80"/>
      <c r="O90" s="80"/>
      <c r="P90" s="80"/>
      <c r="Q90" s="80"/>
      <c r="R90" s="80"/>
      <c r="S90" s="80"/>
      <c r="T90" s="80"/>
      <c r="U90" s="80"/>
      <c r="V90" s="80"/>
      <c r="W90" s="80"/>
      <c r="X90" s="80"/>
      <c r="Y90" s="80"/>
      <c r="Z90" s="80"/>
    </row>
    <row r="91" spans="1:26" ht="77.25" thickBot="1">
      <c r="A91" s="1" t="s">
        <v>1402</v>
      </c>
      <c r="B91" s="1" t="s">
        <v>1399</v>
      </c>
      <c r="C91" s="1" t="s">
        <v>1400</v>
      </c>
      <c r="D91" s="1" t="s">
        <v>1403</v>
      </c>
      <c r="E91" s="2" t="s">
        <v>13</v>
      </c>
      <c r="F91" s="2">
        <v>32</v>
      </c>
      <c r="G91" s="39">
        <v>47.25</v>
      </c>
      <c r="H91" s="79">
        <f t="shared" si="1"/>
        <v>1512</v>
      </c>
      <c r="I91" s="39"/>
      <c r="J91" s="39"/>
      <c r="K91" s="80"/>
      <c r="L91" s="80"/>
      <c r="M91" s="80"/>
      <c r="N91" s="80"/>
      <c r="O91" s="81"/>
      <c r="P91" s="80"/>
      <c r="Q91" s="80"/>
      <c r="R91" s="80"/>
      <c r="S91" s="80"/>
      <c r="T91" s="80"/>
      <c r="U91" s="80"/>
      <c r="V91" s="80"/>
      <c r="W91" s="80"/>
      <c r="X91" s="80"/>
      <c r="Y91" s="80"/>
      <c r="Z91" s="80"/>
    </row>
    <row r="92" spans="1:26" ht="34.5" customHeight="1" thickBot="1">
      <c r="A92" s="94" t="s">
        <v>1707</v>
      </c>
      <c r="B92" s="95"/>
      <c r="C92" s="95"/>
      <c r="D92" s="95"/>
      <c r="E92" s="95"/>
      <c r="F92" s="96"/>
      <c r="G92" s="101">
        <f>SUM(H2:H91)</f>
        <v>1436308.6500000004</v>
      </c>
      <c r="H92" s="95">
        <f>SUM(H2:H91)</f>
        <v>1436308.6500000004</v>
      </c>
      <c r="I92" s="82"/>
      <c r="J92" s="82"/>
      <c r="K92" s="80"/>
      <c r="L92" s="83"/>
      <c r="M92" s="80"/>
      <c r="N92" s="80"/>
      <c r="O92" s="80"/>
      <c r="P92" s="80"/>
      <c r="Q92" s="80"/>
      <c r="R92" s="80"/>
      <c r="S92" s="80"/>
      <c r="T92" s="80"/>
      <c r="U92" s="80"/>
      <c r="V92" s="80"/>
      <c r="W92" s="80"/>
      <c r="X92" s="80"/>
      <c r="Y92" s="80"/>
      <c r="Z92" s="80"/>
    </row>
    <row r="93" spans="1:26" ht="26.25" customHeight="1">
      <c r="L93" s="60"/>
    </row>
    <row r="94" spans="1:26" ht="23.25" customHeight="1">
      <c r="L94" s="59"/>
    </row>
    <row r="95" spans="1:26" ht="15.75">
      <c r="L95" s="66"/>
    </row>
  </sheetData>
  <mergeCells count="2">
    <mergeCell ref="A92:F92"/>
    <mergeCell ref="G92:H92"/>
  </mergeCell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I44"/>
  <sheetViews>
    <sheetView topLeftCell="A24" zoomScale="115" zoomScaleNormal="115" workbookViewId="0">
      <selection activeCell="C9" sqref="C9"/>
    </sheetView>
  </sheetViews>
  <sheetFormatPr defaultRowHeight="12.75"/>
  <cols>
    <col min="1" max="1" width="5.7109375" customWidth="1"/>
    <col min="2" max="2" width="11.5703125" customWidth="1"/>
    <col min="3" max="3" width="21.28515625" customWidth="1"/>
    <col min="4" max="4" width="51.42578125" customWidth="1"/>
    <col min="5" max="6" width="9.28515625" style="3"/>
    <col min="7" max="7" width="9.28515625" style="5"/>
    <col min="8" max="8" width="18.28515625" style="5" customWidth="1"/>
    <col min="9" max="9" width="10.85546875" bestFit="1" customWidth="1"/>
  </cols>
  <sheetData>
    <row r="1" spans="1:9" ht="38.25">
      <c r="A1" s="31" t="s">
        <v>0</v>
      </c>
      <c r="B1" s="31" t="s">
        <v>1</v>
      </c>
      <c r="C1" s="31" t="s">
        <v>2</v>
      </c>
      <c r="D1" s="31" t="s">
        <v>3</v>
      </c>
      <c r="E1" s="32" t="s">
        <v>4</v>
      </c>
      <c r="F1" s="32" t="s">
        <v>5</v>
      </c>
      <c r="G1" s="38" t="s">
        <v>6</v>
      </c>
      <c r="H1" s="38" t="s">
        <v>7</v>
      </c>
    </row>
    <row r="2" spans="1:9" ht="96">
      <c r="A2" s="1" t="s">
        <v>1404</v>
      </c>
      <c r="B2" s="1" t="s">
        <v>1405</v>
      </c>
      <c r="C2" s="1" t="s">
        <v>1406</v>
      </c>
      <c r="D2" s="1" t="s">
        <v>1407</v>
      </c>
      <c r="E2" s="2" t="s">
        <v>1408</v>
      </c>
      <c r="F2" s="2">
        <v>0</v>
      </c>
      <c r="G2" s="18">
        <v>0</v>
      </c>
      <c r="H2" s="18">
        <f>F2*G2</f>
        <v>0</v>
      </c>
      <c r="I2" s="85">
        <f>SUM(H2:H25)</f>
        <v>232396.5</v>
      </c>
    </row>
    <row r="3" spans="1:9" ht="36">
      <c r="A3" s="1" t="s">
        <v>1409</v>
      </c>
      <c r="B3" s="1" t="s">
        <v>1410</v>
      </c>
      <c r="C3" s="1" t="s">
        <v>1411</v>
      </c>
      <c r="D3" s="1" t="s">
        <v>1412</v>
      </c>
      <c r="E3" s="2" t="s">
        <v>1408</v>
      </c>
      <c r="F3" s="2">
        <v>0</v>
      </c>
      <c r="G3" s="18">
        <v>0</v>
      </c>
      <c r="H3" s="18">
        <f t="shared" ref="H3:H43" si="0">F3*G3</f>
        <v>0</v>
      </c>
    </row>
    <row r="4" spans="1:9" ht="36">
      <c r="A4" s="1" t="s">
        <v>1409</v>
      </c>
      <c r="B4" s="1" t="s">
        <v>1413</v>
      </c>
      <c r="C4" s="1" t="s">
        <v>1414</v>
      </c>
      <c r="D4" s="1" t="s">
        <v>1415</v>
      </c>
      <c r="E4" s="2" t="s">
        <v>1408</v>
      </c>
      <c r="F4" s="2">
        <v>0</v>
      </c>
      <c r="G4" s="18">
        <v>0</v>
      </c>
      <c r="H4" s="18">
        <f t="shared" si="0"/>
        <v>0</v>
      </c>
    </row>
    <row r="5" spans="1:9" ht="120">
      <c r="A5" s="1" t="s">
        <v>1416</v>
      </c>
      <c r="B5" s="1" t="s">
        <v>1417</v>
      </c>
      <c r="C5" s="1" t="s">
        <v>1414</v>
      </c>
      <c r="D5" s="1" t="s">
        <v>1418</v>
      </c>
      <c r="E5" s="2" t="s">
        <v>1408</v>
      </c>
      <c r="F5" s="2">
        <v>0</v>
      </c>
      <c r="G5" s="18">
        <v>0</v>
      </c>
      <c r="H5" s="18">
        <f t="shared" si="0"/>
        <v>0</v>
      </c>
    </row>
    <row r="6" spans="1:9" ht="108">
      <c r="A6" s="1" t="s">
        <v>1419</v>
      </c>
      <c r="B6" s="1" t="s">
        <v>1417</v>
      </c>
      <c r="C6" s="1" t="s">
        <v>1420</v>
      </c>
      <c r="D6" s="1" t="s">
        <v>1421</v>
      </c>
      <c r="E6" s="2" t="s">
        <v>1422</v>
      </c>
      <c r="F6" s="2">
        <v>111780</v>
      </c>
      <c r="G6" s="18">
        <v>1.05</v>
      </c>
      <c r="H6" s="18">
        <f t="shared" si="0"/>
        <v>117369</v>
      </c>
      <c r="I6">
        <v>117369</v>
      </c>
    </row>
    <row r="7" spans="1:9" ht="78.75" customHeight="1">
      <c r="A7" s="1" t="s">
        <v>1423</v>
      </c>
      <c r="B7" s="1" t="s">
        <v>1417</v>
      </c>
      <c r="C7" s="1" t="s">
        <v>1424</v>
      </c>
      <c r="D7" s="1" t="s">
        <v>1425</v>
      </c>
      <c r="E7" s="2" t="s">
        <v>1408</v>
      </c>
      <c r="F7" s="2">
        <v>0</v>
      </c>
      <c r="G7" s="18">
        <v>0</v>
      </c>
      <c r="H7" s="18">
        <f t="shared" si="0"/>
        <v>0</v>
      </c>
    </row>
    <row r="8" spans="1:9" ht="108">
      <c r="A8" s="23" t="s">
        <v>1426</v>
      </c>
      <c r="B8" s="23" t="s">
        <v>1417</v>
      </c>
      <c r="C8" s="23" t="s">
        <v>1427</v>
      </c>
      <c r="D8" s="24" t="s">
        <v>1435</v>
      </c>
      <c r="E8" s="23" t="s">
        <v>1408</v>
      </c>
      <c r="F8" s="25">
        <v>0</v>
      </c>
      <c r="G8" s="18">
        <v>0</v>
      </c>
      <c r="H8" s="18">
        <f t="shared" si="0"/>
        <v>0</v>
      </c>
    </row>
    <row r="9" spans="1:9" ht="38.25">
      <c r="A9" s="1" t="s">
        <v>1431</v>
      </c>
      <c r="B9" s="1" t="s">
        <v>1430</v>
      </c>
      <c r="C9" s="1" t="s">
        <v>1428</v>
      </c>
      <c r="D9" s="1" t="s">
        <v>1436</v>
      </c>
      <c r="E9" s="2" t="s">
        <v>1433</v>
      </c>
      <c r="F9" s="2">
        <v>0</v>
      </c>
      <c r="G9" s="18">
        <v>0</v>
      </c>
      <c r="H9" s="18">
        <f t="shared" si="0"/>
        <v>0</v>
      </c>
    </row>
    <row r="10" spans="1:9" ht="20.25" customHeight="1">
      <c r="A10" s="1" t="s">
        <v>1432</v>
      </c>
      <c r="B10" s="1" t="s">
        <v>1430</v>
      </c>
      <c r="C10" s="1" t="s">
        <v>1429</v>
      </c>
      <c r="D10" s="1" t="s">
        <v>1437</v>
      </c>
      <c r="E10" s="2" t="s">
        <v>1434</v>
      </c>
      <c r="F10" s="2">
        <v>38975</v>
      </c>
      <c r="G10" s="18">
        <v>0.52500000000000002</v>
      </c>
      <c r="H10" s="18">
        <f t="shared" si="0"/>
        <v>20461.875</v>
      </c>
      <c r="I10">
        <v>20461.875</v>
      </c>
    </row>
    <row r="11" spans="1:9" ht="38.25">
      <c r="A11" s="1" t="s">
        <v>1444</v>
      </c>
      <c r="B11" s="1" t="s">
        <v>1430</v>
      </c>
      <c r="C11" s="1" t="s">
        <v>1438</v>
      </c>
      <c r="D11" s="1" t="s">
        <v>1440</v>
      </c>
      <c r="E11" s="2" t="s">
        <v>1434</v>
      </c>
      <c r="F11" s="2">
        <v>9180</v>
      </c>
      <c r="G11" s="18">
        <v>0.7</v>
      </c>
      <c r="H11" s="18">
        <f t="shared" si="0"/>
        <v>6426</v>
      </c>
      <c r="I11" s="85">
        <f>H11+H12+H13+H14</f>
        <v>49919.625</v>
      </c>
    </row>
    <row r="12" spans="1:9" ht="38.25">
      <c r="A12" s="1" t="s">
        <v>1445</v>
      </c>
      <c r="B12" s="1" t="s">
        <v>1430</v>
      </c>
      <c r="C12" s="1" t="s">
        <v>1438</v>
      </c>
      <c r="D12" s="1" t="s">
        <v>1441</v>
      </c>
      <c r="E12" s="2" t="s">
        <v>1434</v>
      </c>
      <c r="F12" s="2">
        <v>12615</v>
      </c>
      <c r="G12" s="18">
        <v>1.575</v>
      </c>
      <c r="H12" s="18">
        <f t="shared" si="0"/>
        <v>19868.625</v>
      </c>
    </row>
    <row r="13" spans="1:9" ht="38.25">
      <c r="A13" s="1" t="s">
        <v>1446</v>
      </c>
      <c r="B13" s="1" t="s">
        <v>1430</v>
      </c>
      <c r="C13" s="1" t="s">
        <v>1438</v>
      </c>
      <c r="D13" s="1" t="s">
        <v>1442</v>
      </c>
      <c r="E13" s="2" t="s">
        <v>1434</v>
      </c>
      <c r="F13" s="2">
        <v>3090</v>
      </c>
      <c r="G13" s="18">
        <v>2.1</v>
      </c>
      <c r="H13" s="18">
        <f t="shared" si="0"/>
        <v>6489</v>
      </c>
    </row>
    <row r="14" spans="1:9" ht="38.25">
      <c r="A14" s="1" t="s">
        <v>1447</v>
      </c>
      <c r="B14" s="1" t="s">
        <v>1430</v>
      </c>
      <c r="C14" s="1" t="s">
        <v>1439</v>
      </c>
      <c r="D14" s="1" t="s">
        <v>1443</v>
      </c>
      <c r="E14" s="2" t="s">
        <v>1434</v>
      </c>
      <c r="F14" s="2">
        <v>4080</v>
      </c>
      <c r="G14" s="18">
        <v>4.2</v>
      </c>
      <c r="H14" s="18">
        <f t="shared" si="0"/>
        <v>17136</v>
      </c>
    </row>
    <row r="15" spans="1:9" ht="114.75">
      <c r="A15" s="1" t="s">
        <v>1448</v>
      </c>
      <c r="B15" s="1" t="s">
        <v>1458</v>
      </c>
      <c r="C15" s="1" t="s">
        <v>1449</v>
      </c>
      <c r="D15" s="1" t="s">
        <v>1451</v>
      </c>
      <c r="E15" s="2" t="s">
        <v>1434</v>
      </c>
      <c r="F15" s="2">
        <v>1500</v>
      </c>
      <c r="G15" s="18">
        <v>2.1</v>
      </c>
      <c r="H15" s="18">
        <f t="shared" si="0"/>
        <v>3150</v>
      </c>
      <c r="I15">
        <v>3150</v>
      </c>
    </row>
    <row r="16" spans="1:9" ht="76.5">
      <c r="A16" s="1" t="s">
        <v>1455</v>
      </c>
      <c r="B16" s="1" t="s">
        <v>1459</v>
      </c>
      <c r="C16" s="1" t="s">
        <v>1450</v>
      </c>
      <c r="D16" s="1" t="s">
        <v>1452</v>
      </c>
      <c r="E16" s="2" t="s">
        <v>1434</v>
      </c>
      <c r="F16" s="2">
        <v>4050</v>
      </c>
      <c r="G16" s="18">
        <v>2.1</v>
      </c>
      <c r="H16" s="18">
        <f t="shared" si="0"/>
        <v>8505</v>
      </c>
      <c r="I16">
        <v>8505</v>
      </c>
    </row>
    <row r="17" spans="1:9" ht="89.25">
      <c r="A17" s="1" t="s">
        <v>1456</v>
      </c>
      <c r="B17" s="1" t="s">
        <v>1460</v>
      </c>
      <c r="C17" s="1" t="s">
        <v>1449</v>
      </c>
      <c r="D17" s="1" t="s">
        <v>1453</v>
      </c>
      <c r="E17" s="2" t="s">
        <v>1434</v>
      </c>
      <c r="F17" s="2">
        <v>280</v>
      </c>
      <c r="G17" s="18">
        <v>12.6</v>
      </c>
      <c r="H17" s="18">
        <f t="shared" si="0"/>
        <v>3528</v>
      </c>
      <c r="I17">
        <v>3528</v>
      </c>
    </row>
    <row r="18" spans="1:9" ht="127.5">
      <c r="A18" s="1" t="s">
        <v>1457</v>
      </c>
      <c r="B18" s="1" t="s">
        <v>1461</v>
      </c>
      <c r="C18" s="1" t="s">
        <v>1470</v>
      </c>
      <c r="D18" s="1" t="s">
        <v>1454</v>
      </c>
      <c r="E18" s="2" t="s">
        <v>1433</v>
      </c>
      <c r="F18" s="2">
        <v>0</v>
      </c>
      <c r="G18" s="18">
        <v>0</v>
      </c>
      <c r="H18" s="18">
        <f t="shared" si="0"/>
        <v>0</v>
      </c>
    </row>
    <row r="19" spans="1:9" ht="127.5">
      <c r="A19" s="1" t="s">
        <v>1462</v>
      </c>
      <c r="B19" s="1" t="s">
        <v>1469</v>
      </c>
      <c r="C19" s="1" t="s">
        <v>1471</v>
      </c>
      <c r="D19" s="1" t="s">
        <v>1472</v>
      </c>
      <c r="E19" s="2" t="s">
        <v>1434</v>
      </c>
      <c r="F19" s="2">
        <v>130</v>
      </c>
      <c r="G19" s="18">
        <v>13.65</v>
      </c>
      <c r="H19" s="18">
        <f t="shared" si="0"/>
        <v>1774.5</v>
      </c>
      <c r="I19">
        <v>1774.5</v>
      </c>
    </row>
    <row r="20" spans="1:9" ht="127.5">
      <c r="A20" s="1" t="s">
        <v>1463</v>
      </c>
      <c r="B20" s="1" t="s">
        <v>1469</v>
      </c>
      <c r="C20" s="1" t="s">
        <v>1471</v>
      </c>
      <c r="D20" s="1" t="s">
        <v>1474</v>
      </c>
      <c r="E20" s="2" t="s">
        <v>1434</v>
      </c>
      <c r="F20" s="2">
        <v>375</v>
      </c>
      <c r="G20" s="18">
        <v>12.6</v>
      </c>
      <c r="H20" s="18">
        <f t="shared" si="0"/>
        <v>4725</v>
      </c>
      <c r="I20">
        <v>4725</v>
      </c>
    </row>
    <row r="21" spans="1:9" ht="127.5">
      <c r="A21" s="1" t="s">
        <v>1464</v>
      </c>
      <c r="B21" s="1" t="s">
        <v>1469</v>
      </c>
      <c r="C21" s="1" t="s">
        <v>1471</v>
      </c>
      <c r="D21" s="1" t="s">
        <v>1475</v>
      </c>
      <c r="E21" s="2" t="s">
        <v>1433</v>
      </c>
      <c r="F21" s="2">
        <v>0</v>
      </c>
      <c r="G21" s="18">
        <v>0</v>
      </c>
      <c r="H21" s="18">
        <f t="shared" si="0"/>
        <v>0</v>
      </c>
    </row>
    <row r="22" spans="1:9" ht="140.25">
      <c r="A22" s="1" t="s">
        <v>1465</v>
      </c>
      <c r="B22" s="1" t="s">
        <v>1469</v>
      </c>
      <c r="C22" s="1" t="s">
        <v>1473</v>
      </c>
      <c r="D22" s="1" t="s">
        <v>1478</v>
      </c>
      <c r="E22" s="2" t="s">
        <v>1480</v>
      </c>
      <c r="F22" s="2">
        <v>55</v>
      </c>
      <c r="G22" s="18">
        <v>94.5</v>
      </c>
      <c r="H22" s="18">
        <f t="shared" si="0"/>
        <v>5197.5</v>
      </c>
      <c r="I22">
        <v>5197.5</v>
      </c>
    </row>
    <row r="23" spans="1:9" ht="127.5">
      <c r="A23" s="1" t="s">
        <v>1466</v>
      </c>
      <c r="B23" s="1" t="s">
        <v>1469</v>
      </c>
      <c r="C23" s="1" t="s">
        <v>1471</v>
      </c>
      <c r="D23" s="1" t="s">
        <v>1479</v>
      </c>
      <c r="E23" s="2" t="s">
        <v>1433</v>
      </c>
      <c r="F23" s="2">
        <v>0</v>
      </c>
      <c r="G23" s="18">
        <v>0</v>
      </c>
      <c r="H23" s="18">
        <f t="shared" si="0"/>
        <v>0</v>
      </c>
    </row>
    <row r="24" spans="1:9" ht="140.25">
      <c r="A24" s="1" t="s">
        <v>1467</v>
      </c>
      <c r="B24" s="1" t="s">
        <v>1469</v>
      </c>
      <c r="C24" s="1" t="s">
        <v>1473</v>
      </c>
      <c r="D24" s="1" t="s">
        <v>1476</v>
      </c>
      <c r="E24" s="2" t="s">
        <v>1481</v>
      </c>
      <c r="F24" s="2">
        <v>1420</v>
      </c>
      <c r="G24" s="18">
        <v>1.05</v>
      </c>
      <c r="H24" s="18">
        <f t="shared" si="0"/>
        <v>1491</v>
      </c>
      <c r="I24">
        <v>1491</v>
      </c>
    </row>
    <row r="25" spans="1:9" ht="140.25">
      <c r="A25" s="1" t="s">
        <v>1468</v>
      </c>
      <c r="B25" s="1" t="s">
        <v>1469</v>
      </c>
      <c r="C25" s="1" t="s">
        <v>1473</v>
      </c>
      <c r="D25" s="1" t="s">
        <v>1477</v>
      </c>
      <c r="E25" s="2" t="s">
        <v>1481</v>
      </c>
      <c r="F25" s="2">
        <v>15500</v>
      </c>
      <c r="G25" s="18">
        <v>1.05</v>
      </c>
      <c r="H25" s="18">
        <f t="shared" si="0"/>
        <v>16275</v>
      </c>
    </row>
    <row r="26" spans="1:9" ht="102">
      <c r="A26" s="1" t="s">
        <v>1482</v>
      </c>
      <c r="B26" s="1" t="s">
        <v>1492</v>
      </c>
      <c r="C26" s="1" t="s">
        <v>1493</v>
      </c>
      <c r="D26" s="1" t="s">
        <v>1495</v>
      </c>
      <c r="E26" s="2" t="s">
        <v>1433</v>
      </c>
      <c r="F26" s="2">
        <v>0</v>
      </c>
      <c r="G26" s="18">
        <v>0</v>
      </c>
      <c r="H26" s="18">
        <f t="shared" si="0"/>
        <v>0</v>
      </c>
      <c r="I26" s="85">
        <f>SUM(H26:H43)</f>
        <v>33278.175000000003</v>
      </c>
    </row>
    <row r="27" spans="1:9" ht="29.25" customHeight="1">
      <c r="A27" s="1" t="s">
        <v>1483</v>
      </c>
      <c r="B27" s="1" t="s">
        <v>1492</v>
      </c>
      <c r="C27" s="1" t="s">
        <v>1493</v>
      </c>
      <c r="D27" s="1" t="s">
        <v>1497</v>
      </c>
      <c r="E27" s="2" t="s">
        <v>1496</v>
      </c>
      <c r="F27" s="2">
        <v>315</v>
      </c>
      <c r="G27" s="18">
        <v>3.15</v>
      </c>
      <c r="H27" s="18">
        <f t="shared" si="0"/>
        <v>992.25</v>
      </c>
    </row>
    <row r="28" spans="1:9" ht="29.25" customHeight="1">
      <c r="A28" s="1" t="s">
        <v>1484</v>
      </c>
      <c r="B28" s="1" t="s">
        <v>1492</v>
      </c>
      <c r="C28" s="1" t="s">
        <v>1493</v>
      </c>
      <c r="D28" s="1" t="s">
        <v>1498</v>
      </c>
      <c r="E28" s="2" t="s">
        <v>1496</v>
      </c>
      <c r="F28" s="2">
        <v>1270</v>
      </c>
      <c r="G28" s="18">
        <v>2.1</v>
      </c>
      <c r="H28" s="18">
        <f t="shared" si="0"/>
        <v>2667</v>
      </c>
    </row>
    <row r="29" spans="1:9" ht="29.25" customHeight="1">
      <c r="A29" s="1" t="s">
        <v>1485</v>
      </c>
      <c r="B29" s="1" t="s">
        <v>1492</v>
      </c>
      <c r="C29" s="1" t="s">
        <v>1493</v>
      </c>
      <c r="D29" s="1" t="s">
        <v>1499</v>
      </c>
      <c r="E29" s="2" t="s">
        <v>1496</v>
      </c>
      <c r="F29" s="2">
        <v>345</v>
      </c>
      <c r="G29" s="18">
        <v>1.575</v>
      </c>
      <c r="H29" s="18">
        <f t="shared" si="0"/>
        <v>543.375</v>
      </c>
    </row>
    <row r="30" spans="1:9" ht="29.25" customHeight="1">
      <c r="A30" s="1" t="s">
        <v>1486</v>
      </c>
      <c r="B30" s="1" t="s">
        <v>1492</v>
      </c>
      <c r="C30" s="1" t="s">
        <v>1493</v>
      </c>
      <c r="D30" s="1" t="s">
        <v>1500</v>
      </c>
      <c r="E30" s="2" t="s">
        <v>1496</v>
      </c>
      <c r="F30" s="2">
        <v>865</v>
      </c>
      <c r="G30" s="18">
        <v>1.575</v>
      </c>
      <c r="H30" s="18">
        <f t="shared" si="0"/>
        <v>1362.375</v>
      </c>
    </row>
    <row r="31" spans="1:9" ht="29.25" customHeight="1">
      <c r="A31" s="1" t="s">
        <v>1487</v>
      </c>
      <c r="B31" s="1" t="s">
        <v>1492</v>
      </c>
      <c r="C31" s="1" t="s">
        <v>1493</v>
      </c>
      <c r="D31" s="1" t="s">
        <v>1501</v>
      </c>
      <c r="E31" s="2" t="s">
        <v>1496</v>
      </c>
      <c r="F31" s="2">
        <v>1090</v>
      </c>
      <c r="G31" s="18">
        <v>2.1</v>
      </c>
      <c r="H31" s="18">
        <f t="shared" si="0"/>
        <v>2289</v>
      </c>
    </row>
    <row r="32" spans="1:9" ht="29.25" customHeight="1">
      <c r="A32" s="1" t="s">
        <v>1488</v>
      </c>
      <c r="B32" s="1" t="s">
        <v>1492</v>
      </c>
      <c r="C32" s="1" t="s">
        <v>1493</v>
      </c>
      <c r="D32" s="1" t="s">
        <v>1502</v>
      </c>
      <c r="E32" s="2" t="s">
        <v>1496</v>
      </c>
      <c r="F32" s="2">
        <v>460</v>
      </c>
      <c r="G32" s="18">
        <v>2.1</v>
      </c>
      <c r="H32" s="18">
        <f t="shared" si="0"/>
        <v>966</v>
      </c>
    </row>
    <row r="33" spans="1:8" ht="29.25" customHeight="1">
      <c r="A33" s="1" t="s">
        <v>1489</v>
      </c>
      <c r="B33" s="1" t="s">
        <v>1492</v>
      </c>
      <c r="C33" s="1" t="s">
        <v>1493</v>
      </c>
      <c r="D33" s="1" t="s">
        <v>1503</v>
      </c>
      <c r="E33" s="2" t="s">
        <v>1496</v>
      </c>
      <c r="F33" s="2">
        <v>130</v>
      </c>
      <c r="G33" s="18">
        <v>3.15</v>
      </c>
      <c r="H33" s="18">
        <f t="shared" si="0"/>
        <v>409.5</v>
      </c>
    </row>
    <row r="34" spans="1:8" ht="29.25" customHeight="1">
      <c r="A34" s="1" t="s">
        <v>1490</v>
      </c>
      <c r="B34" s="1" t="s">
        <v>1492</v>
      </c>
      <c r="C34" s="1" t="s">
        <v>1493</v>
      </c>
      <c r="D34" s="1" t="s">
        <v>1504</v>
      </c>
      <c r="E34" s="2" t="s">
        <v>1496</v>
      </c>
      <c r="F34" s="2">
        <v>490</v>
      </c>
      <c r="G34" s="18">
        <v>3.15</v>
      </c>
      <c r="H34" s="18">
        <f t="shared" si="0"/>
        <v>1543.5</v>
      </c>
    </row>
    <row r="35" spans="1:8" ht="29.25" customHeight="1">
      <c r="A35" s="1" t="s">
        <v>1491</v>
      </c>
      <c r="B35" s="1" t="s">
        <v>1492</v>
      </c>
      <c r="C35" s="1" t="s">
        <v>1494</v>
      </c>
      <c r="D35" s="1" t="s">
        <v>1505</v>
      </c>
      <c r="E35" s="2" t="s">
        <v>1433</v>
      </c>
      <c r="F35" s="2">
        <v>0</v>
      </c>
      <c r="G35" s="18">
        <v>0</v>
      </c>
      <c r="H35" s="18">
        <f t="shared" si="0"/>
        <v>0</v>
      </c>
    </row>
    <row r="36" spans="1:8" ht="29.25" customHeight="1">
      <c r="A36" s="1" t="s">
        <v>1506</v>
      </c>
      <c r="B36" s="1" t="s">
        <v>1492</v>
      </c>
      <c r="C36" s="1" t="s">
        <v>1516</v>
      </c>
      <c r="D36" s="1" t="s">
        <v>1521</v>
      </c>
      <c r="E36" s="2" t="s">
        <v>1529</v>
      </c>
      <c r="F36" s="2">
        <v>48</v>
      </c>
      <c r="G36" s="18">
        <v>3.15</v>
      </c>
      <c r="H36" s="18">
        <f t="shared" si="0"/>
        <v>151.19999999999999</v>
      </c>
    </row>
    <row r="37" spans="1:8" ht="29.25" customHeight="1">
      <c r="A37" s="1" t="s">
        <v>1507</v>
      </c>
      <c r="B37" s="1" t="s">
        <v>1492</v>
      </c>
      <c r="C37" s="1" t="s">
        <v>1516</v>
      </c>
      <c r="D37" s="1" t="s">
        <v>1522</v>
      </c>
      <c r="E37" s="2" t="s">
        <v>1529</v>
      </c>
      <c r="F37" s="2">
        <v>21</v>
      </c>
      <c r="G37" s="18">
        <v>4.2</v>
      </c>
      <c r="H37" s="18">
        <f t="shared" si="0"/>
        <v>88.2</v>
      </c>
    </row>
    <row r="38" spans="1:8" ht="29.25" customHeight="1">
      <c r="A38" s="1" t="s">
        <v>1508</v>
      </c>
      <c r="B38" s="1" t="s">
        <v>1492</v>
      </c>
      <c r="C38" s="1" t="s">
        <v>1516</v>
      </c>
      <c r="D38" s="1" t="s">
        <v>1523</v>
      </c>
      <c r="E38" s="2" t="s">
        <v>1529</v>
      </c>
      <c r="F38" s="2">
        <v>9</v>
      </c>
      <c r="G38" s="18">
        <v>4.2</v>
      </c>
      <c r="H38" s="18">
        <f t="shared" si="0"/>
        <v>37.800000000000004</v>
      </c>
    </row>
    <row r="39" spans="1:8" ht="29.25" customHeight="1">
      <c r="A39" s="1" t="s">
        <v>1509</v>
      </c>
      <c r="B39" s="1" t="s">
        <v>1492</v>
      </c>
      <c r="C39" s="1" t="s">
        <v>1516</v>
      </c>
      <c r="D39" s="1" t="s">
        <v>1524</v>
      </c>
      <c r="E39" s="2" t="s">
        <v>1529</v>
      </c>
      <c r="F39" s="2">
        <v>8</v>
      </c>
      <c r="G39" s="18">
        <v>4.2</v>
      </c>
      <c r="H39" s="18">
        <f t="shared" si="0"/>
        <v>33.6</v>
      </c>
    </row>
    <row r="40" spans="1:8" ht="29.25" customHeight="1">
      <c r="A40" s="1" t="s">
        <v>1510</v>
      </c>
      <c r="B40" s="1" t="s">
        <v>1492</v>
      </c>
      <c r="C40" s="1" t="s">
        <v>1518</v>
      </c>
      <c r="D40" s="1" t="s">
        <v>1525</v>
      </c>
      <c r="E40" s="2" t="s">
        <v>1529</v>
      </c>
      <c r="F40" s="2">
        <v>145</v>
      </c>
      <c r="G40" s="18">
        <v>4.3049999999999997</v>
      </c>
      <c r="H40" s="18">
        <f t="shared" si="0"/>
        <v>624.22499999999991</v>
      </c>
    </row>
    <row r="41" spans="1:8" ht="29.25" customHeight="1">
      <c r="A41" s="1" t="s">
        <v>1511</v>
      </c>
      <c r="B41" s="1" t="s">
        <v>1492</v>
      </c>
      <c r="C41" s="1" t="s">
        <v>1517</v>
      </c>
      <c r="D41" s="1" t="s">
        <v>1528</v>
      </c>
      <c r="E41" s="2" t="s">
        <v>1529</v>
      </c>
      <c r="F41" s="2">
        <v>2010</v>
      </c>
      <c r="G41" s="18">
        <v>4.3049999999999997</v>
      </c>
      <c r="H41" s="18">
        <f t="shared" si="0"/>
        <v>8653.0499999999993</v>
      </c>
    </row>
    <row r="42" spans="1:8" ht="29.25" customHeight="1">
      <c r="A42" s="1" t="s">
        <v>1512</v>
      </c>
      <c r="B42" s="1" t="s">
        <v>1514</v>
      </c>
      <c r="C42" s="1" t="s">
        <v>1519</v>
      </c>
      <c r="D42" s="1" t="s">
        <v>1526</v>
      </c>
      <c r="E42" s="2" t="s">
        <v>1434</v>
      </c>
      <c r="F42" s="2">
        <v>15315</v>
      </c>
      <c r="G42" s="18">
        <v>0.84</v>
      </c>
      <c r="H42" s="18">
        <f t="shared" si="0"/>
        <v>12864.6</v>
      </c>
    </row>
    <row r="43" spans="1:8" ht="45" customHeight="1" thickBot="1">
      <c r="A43" s="1" t="s">
        <v>1513</v>
      </c>
      <c r="B43" s="1" t="s">
        <v>1515</v>
      </c>
      <c r="C43" s="1" t="s">
        <v>1520</v>
      </c>
      <c r="D43" s="1" t="s">
        <v>1527</v>
      </c>
      <c r="E43" s="2" t="s">
        <v>1433</v>
      </c>
      <c r="F43" s="2">
        <v>1</v>
      </c>
      <c r="G43" s="52">
        <v>52.5</v>
      </c>
      <c r="H43" s="52">
        <f t="shared" si="0"/>
        <v>52.5</v>
      </c>
    </row>
    <row r="44" spans="1:8" ht="24" customHeight="1" thickBot="1">
      <c r="A44" s="94" t="s">
        <v>1706</v>
      </c>
      <c r="B44" s="95"/>
      <c r="C44" s="95"/>
      <c r="D44" s="95"/>
      <c r="E44" s="95"/>
      <c r="F44" s="95"/>
      <c r="G44" s="102"/>
      <c r="H44" s="63">
        <f>SUM(H2:H43)</f>
        <v>265674.67499999999</v>
      </c>
    </row>
  </sheetData>
  <mergeCells count="1">
    <mergeCell ref="A44:G44"/>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J233"/>
  <sheetViews>
    <sheetView zoomScale="115" zoomScaleNormal="115" workbookViewId="0">
      <pane ySplit="1" topLeftCell="A198" activePane="bottomLeft" state="frozen"/>
      <selection pane="bottomLeft" activeCell="G225" sqref="G225"/>
    </sheetView>
  </sheetViews>
  <sheetFormatPr defaultRowHeight="12.75"/>
  <cols>
    <col min="1" max="1" width="5.42578125" customWidth="1"/>
    <col min="2" max="2" width="13.5703125" customWidth="1"/>
    <col min="3" max="3" width="31" customWidth="1"/>
    <col min="4" max="4" width="39.42578125" customWidth="1"/>
    <col min="5" max="5" width="7.5703125" style="3" customWidth="1"/>
    <col min="6" max="6" width="8.5703125" style="3" customWidth="1"/>
    <col min="7" max="7" width="10.7109375" style="34" customWidth="1"/>
    <col min="8" max="8" width="15.7109375" style="34" customWidth="1"/>
    <col min="9" max="9" width="18.28515625" style="64" customWidth="1"/>
    <col min="10" max="10" width="18.5703125" customWidth="1"/>
  </cols>
  <sheetData>
    <row r="1" spans="1:10" ht="38.25">
      <c r="A1" s="31" t="s">
        <v>0</v>
      </c>
      <c r="B1" s="31" t="s">
        <v>1</v>
      </c>
      <c r="C1" s="31" t="s">
        <v>2</v>
      </c>
      <c r="D1" s="31" t="s">
        <v>3</v>
      </c>
      <c r="E1" s="32" t="s">
        <v>4</v>
      </c>
      <c r="F1" s="32" t="s">
        <v>5</v>
      </c>
      <c r="G1" s="33" t="s">
        <v>6</v>
      </c>
      <c r="H1" s="33" t="s">
        <v>7</v>
      </c>
      <c r="I1" s="70"/>
      <c r="J1" s="46"/>
    </row>
    <row r="2" spans="1:10" ht="63.75">
      <c r="A2" s="1" t="s">
        <v>487</v>
      </c>
      <c r="B2" s="1" t="s">
        <v>488</v>
      </c>
      <c r="C2" s="1" t="s">
        <v>1550</v>
      </c>
      <c r="D2" s="47" t="s">
        <v>1551</v>
      </c>
      <c r="E2" s="2" t="s">
        <v>1552</v>
      </c>
      <c r="F2" s="2" t="s">
        <v>8</v>
      </c>
      <c r="G2" s="48">
        <v>2000</v>
      </c>
      <c r="H2" s="48">
        <f>F2*G2</f>
        <v>2000</v>
      </c>
    </row>
    <row r="3" spans="1:10" ht="51">
      <c r="A3" s="1" t="s">
        <v>492</v>
      </c>
      <c r="B3" s="1" t="s">
        <v>493</v>
      </c>
      <c r="C3" s="1" t="s">
        <v>494</v>
      </c>
      <c r="D3" s="1" t="s">
        <v>1554</v>
      </c>
      <c r="E3" s="2" t="s">
        <v>1552</v>
      </c>
      <c r="F3" s="2" t="s">
        <v>8</v>
      </c>
      <c r="G3" s="48">
        <v>1000</v>
      </c>
      <c r="H3" s="48">
        <f t="shared" ref="H3:H66" si="0">F3*G3</f>
        <v>1000</v>
      </c>
    </row>
    <row r="4" spans="1:10" ht="140.25">
      <c r="A4" s="1" t="s">
        <v>496</v>
      </c>
      <c r="B4" s="1" t="s">
        <v>493</v>
      </c>
      <c r="C4" s="1" t="s">
        <v>497</v>
      </c>
      <c r="D4" s="1" t="s">
        <v>1555</v>
      </c>
      <c r="E4" s="2" t="s">
        <v>499</v>
      </c>
      <c r="F4" s="2" t="s">
        <v>1556</v>
      </c>
      <c r="G4" s="48">
        <v>0.8</v>
      </c>
      <c r="H4" s="48">
        <f t="shared" si="0"/>
        <v>280</v>
      </c>
    </row>
    <row r="5" spans="1:10" ht="63.75">
      <c r="A5" s="1" t="s">
        <v>501</v>
      </c>
      <c r="B5" s="1" t="s">
        <v>493</v>
      </c>
      <c r="C5" s="1" t="s">
        <v>502</v>
      </c>
      <c r="D5" s="1" t="s">
        <v>1558</v>
      </c>
      <c r="E5" s="2" t="s">
        <v>499</v>
      </c>
      <c r="F5" s="2" t="s">
        <v>847</v>
      </c>
      <c r="G5" s="48">
        <v>0.5</v>
      </c>
      <c r="H5" s="48">
        <f t="shared" si="0"/>
        <v>200</v>
      </c>
    </row>
    <row r="6" spans="1:10" ht="25.5">
      <c r="A6" s="1" t="s">
        <v>505</v>
      </c>
      <c r="B6" s="1" t="s">
        <v>493</v>
      </c>
      <c r="C6" s="1" t="s">
        <v>502</v>
      </c>
      <c r="D6" s="1" t="s">
        <v>506</v>
      </c>
      <c r="E6" s="2" t="s">
        <v>499</v>
      </c>
      <c r="F6" s="2" t="s">
        <v>387</v>
      </c>
      <c r="G6" s="48">
        <v>0.5</v>
      </c>
      <c r="H6" s="48">
        <f t="shared" si="0"/>
        <v>100</v>
      </c>
    </row>
    <row r="7" spans="1:10" ht="25.5">
      <c r="A7" s="1" t="s">
        <v>507</v>
      </c>
      <c r="B7" s="1" t="s">
        <v>493</v>
      </c>
      <c r="C7" s="1" t="s">
        <v>502</v>
      </c>
      <c r="D7" s="1" t="s">
        <v>1560</v>
      </c>
      <c r="E7" s="2" t="s">
        <v>499</v>
      </c>
      <c r="F7" s="2" t="s">
        <v>1556</v>
      </c>
      <c r="G7" s="48">
        <v>0.5</v>
      </c>
      <c r="H7" s="48">
        <f t="shared" si="0"/>
        <v>175</v>
      </c>
    </row>
    <row r="8" spans="1:10" ht="25.5">
      <c r="A8" s="1" t="s">
        <v>510</v>
      </c>
      <c r="B8" s="1" t="s">
        <v>493</v>
      </c>
      <c r="C8" s="1" t="s">
        <v>502</v>
      </c>
      <c r="D8" s="1" t="s">
        <v>511</v>
      </c>
      <c r="E8" s="2" t="s">
        <v>499</v>
      </c>
      <c r="F8" s="2" t="s">
        <v>106</v>
      </c>
      <c r="G8" s="48">
        <v>0.5</v>
      </c>
      <c r="H8" s="48">
        <f t="shared" si="0"/>
        <v>17.5</v>
      </c>
    </row>
    <row r="9" spans="1:10" ht="76.5">
      <c r="A9" s="1" t="s">
        <v>513</v>
      </c>
      <c r="B9" s="1" t="s">
        <v>493</v>
      </c>
      <c r="C9" s="1" t="s">
        <v>1563</v>
      </c>
      <c r="D9" s="1" t="s">
        <v>1564</v>
      </c>
      <c r="E9" s="2" t="s">
        <v>516</v>
      </c>
      <c r="F9" s="2" t="s">
        <v>1565</v>
      </c>
      <c r="G9" s="48">
        <v>1.5</v>
      </c>
      <c r="H9" s="48">
        <f t="shared" si="0"/>
        <v>225</v>
      </c>
    </row>
    <row r="10" spans="1:10" ht="183" customHeight="1">
      <c r="A10" s="1" t="s">
        <v>518</v>
      </c>
      <c r="B10" s="1" t="s">
        <v>493</v>
      </c>
      <c r="C10" s="1" t="s">
        <v>1566</v>
      </c>
      <c r="D10" s="1" t="s">
        <v>1567</v>
      </c>
      <c r="E10" s="2" t="s">
        <v>499</v>
      </c>
      <c r="F10" s="2" t="s">
        <v>1568</v>
      </c>
      <c r="G10" s="48">
        <v>45</v>
      </c>
      <c r="H10" s="48">
        <f t="shared" si="0"/>
        <v>787.5</v>
      </c>
    </row>
    <row r="11" spans="1:10" ht="183" customHeight="1">
      <c r="A11" s="1" t="s">
        <v>522</v>
      </c>
      <c r="B11" s="1" t="s">
        <v>493</v>
      </c>
      <c r="C11" s="1" t="s">
        <v>1569</v>
      </c>
      <c r="D11" s="1" t="s">
        <v>524</v>
      </c>
      <c r="E11" s="2" t="s">
        <v>499</v>
      </c>
      <c r="F11" s="2" t="s">
        <v>134</v>
      </c>
      <c r="G11" s="48">
        <v>50</v>
      </c>
      <c r="H11" s="48">
        <f t="shared" si="0"/>
        <v>2250</v>
      </c>
    </row>
    <row r="12" spans="1:10" ht="183" customHeight="1">
      <c r="A12" s="1" t="s">
        <v>526</v>
      </c>
      <c r="B12" s="1" t="s">
        <v>493</v>
      </c>
      <c r="C12" s="1" t="s">
        <v>1569</v>
      </c>
      <c r="D12" s="1" t="s">
        <v>527</v>
      </c>
      <c r="E12" s="2" t="s">
        <v>499</v>
      </c>
      <c r="F12" s="2" t="s">
        <v>1571</v>
      </c>
      <c r="G12" s="48">
        <v>50</v>
      </c>
      <c r="H12" s="48">
        <f t="shared" si="0"/>
        <v>700</v>
      </c>
    </row>
    <row r="13" spans="1:10" ht="183" customHeight="1">
      <c r="A13" s="1" t="s">
        <v>529</v>
      </c>
      <c r="B13" s="1" t="s">
        <v>493</v>
      </c>
      <c r="C13" s="1" t="s">
        <v>1573</v>
      </c>
      <c r="D13" s="1" t="s">
        <v>1574</v>
      </c>
      <c r="E13" s="2" t="s">
        <v>499</v>
      </c>
      <c r="F13" s="2" t="s">
        <v>94</v>
      </c>
      <c r="G13" s="48">
        <v>50</v>
      </c>
      <c r="H13" s="48">
        <f t="shared" si="0"/>
        <v>1500</v>
      </c>
    </row>
    <row r="14" spans="1:10" ht="183" customHeight="1">
      <c r="A14" s="1" t="s">
        <v>532</v>
      </c>
      <c r="B14" s="1" t="s">
        <v>493</v>
      </c>
      <c r="C14" s="1" t="s">
        <v>1576</v>
      </c>
      <c r="D14" s="1" t="s">
        <v>534</v>
      </c>
      <c r="E14" s="2" t="s">
        <v>499</v>
      </c>
      <c r="F14" s="2" t="s">
        <v>1557</v>
      </c>
      <c r="G14" s="48">
        <v>50</v>
      </c>
      <c r="H14" s="48">
        <f t="shared" si="0"/>
        <v>200</v>
      </c>
    </row>
    <row r="15" spans="1:10" ht="51">
      <c r="A15" s="1" t="s">
        <v>535</v>
      </c>
      <c r="B15" s="1" t="s">
        <v>493</v>
      </c>
      <c r="C15" s="1" t="s">
        <v>1577</v>
      </c>
      <c r="D15" s="1" t="s">
        <v>1578</v>
      </c>
      <c r="E15" s="2" t="s">
        <v>516</v>
      </c>
      <c r="F15" s="2" t="s">
        <v>1579</v>
      </c>
      <c r="G15" s="48">
        <v>0.5</v>
      </c>
      <c r="H15" s="48">
        <f t="shared" si="0"/>
        <v>57.5</v>
      </c>
    </row>
    <row r="16" spans="1:10" ht="51">
      <c r="A16" s="1" t="s">
        <v>539</v>
      </c>
      <c r="B16" s="1" t="s">
        <v>493</v>
      </c>
      <c r="C16" s="1" t="s">
        <v>1581</v>
      </c>
      <c r="D16" s="1" t="s">
        <v>1582</v>
      </c>
      <c r="E16" s="2" t="s">
        <v>516</v>
      </c>
      <c r="F16" s="2" t="s">
        <v>521</v>
      </c>
      <c r="G16" s="48">
        <v>5</v>
      </c>
      <c r="H16" s="48">
        <f t="shared" si="0"/>
        <v>1500</v>
      </c>
    </row>
    <row r="17" spans="1:8" ht="25.5">
      <c r="A17" s="1" t="s">
        <v>543</v>
      </c>
      <c r="B17" s="1" t="s">
        <v>493</v>
      </c>
      <c r="C17" s="1" t="s">
        <v>1583</v>
      </c>
      <c r="D17" s="1" t="s">
        <v>1584</v>
      </c>
      <c r="E17" s="2" t="s">
        <v>516</v>
      </c>
      <c r="F17" s="2" t="s">
        <v>1585</v>
      </c>
      <c r="G17" s="48">
        <v>0.5</v>
      </c>
      <c r="H17" s="48">
        <f t="shared" si="0"/>
        <v>72.5</v>
      </c>
    </row>
    <row r="18" spans="1:8" ht="89.25">
      <c r="A18" s="1" t="s">
        <v>547</v>
      </c>
      <c r="B18" s="1" t="s">
        <v>493</v>
      </c>
      <c r="C18" s="1" t="s">
        <v>1586</v>
      </c>
      <c r="D18" s="1" t="s">
        <v>553</v>
      </c>
      <c r="E18" s="2" t="s">
        <v>516</v>
      </c>
      <c r="F18" s="2" t="s">
        <v>821</v>
      </c>
      <c r="G18" s="48">
        <v>6</v>
      </c>
      <c r="H18" s="48">
        <f t="shared" si="0"/>
        <v>720</v>
      </c>
    </row>
    <row r="19" spans="1:8" ht="102">
      <c r="A19" s="1" t="s">
        <v>551</v>
      </c>
      <c r="B19" s="1" t="s">
        <v>493</v>
      </c>
      <c r="C19" s="1" t="s">
        <v>1587</v>
      </c>
      <c r="D19" s="1" t="s">
        <v>1588</v>
      </c>
      <c r="E19" s="2" t="s">
        <v>516</v>
      </c>
      <c r="F19" s="2" t="s">
        <v>1589</v>
      </c>
      <c r="G19" s="48">
        <v>1</v>
      </c>
      <c r="H19" s="48">
        <f t="shared" si="0"/>
        <v>250</v>
      </c>
    </row>
    <row r="20" spans="1:8" ht="183" customHeight="1">
      <c r="A20" s="1" t="s">
        <v>555</v>
      </c>
      <c r="B20" s="1" t="s">
        <v>493</v>
      </c>
      <c r="C20" s="1" t="s">
        <v>1590</v>
      </c>
      <c r="D20" s="1" t="s">
        <v>557</v>
      </c>
      <c r="E20" s="2" t="s">
        <v>13</v>
      </c>
      <c r="F20" s="2" t="s">
        <v>14</v>
      </c>
      <c r="G20" s="48">
        <v>0</v>
      </c>
      <c r="H20" s="48">
        <f t="shared" si="0"/>
        <v>0</v>
      </c>
    </row>
    <row r="21" spans="1:8" ht="153">
      <c r="A21" s="1" t="s">
        <v>558</v>
      </c>
      <c r="B21" s="1" t="s">
        <v>493</v>
      </c>
      <c r="C21" s="1" t="s">
        <v>1591</v>
      </c>
      <c r="D21" s="1" t="s">
        <v>557</v>
      </c>
      <c r="E21" s="2" t="s">
        <v>13</v>
      </c>
      <c r="F21" s="2" t="s">
        <v>14</v>
      </c>
      <c r="G21" s="48">
        <v>0</v>
      </c>
      <c r="H21" s="48">
        <f t="shared" si="0"/>
        <v>0</v>
      </c>
    </row>
    <row r="22" spans="1:8" ht="140.25">
      <c r="A22" s="1" t="s">
        <v>560</v>
      </c>
      <c r="B22" s="1" t="s">
        <v>493</v>
      </c>
      <c r="C22" s="1" t="s">
        <v>1593</v>
      </c>
      <c r="D22" s="1" t="s">
        <v>557</v>
      </c>
      <c r="E22" s="2" t="s">
        <v>13</v>
      </c>
      <c r="F22" s="2" t="s">
        <v>14</v>
      </c>
      <c r="G22" s="48">
        <v>0</v>
      </c>
      <c r="H22" s="48">
        <f t="shared" si="0"/>
        <v>0</v>
      </c>
    </row>
    <row r="23" spans="1:8" ht="183" customHeight="1">
      <c r="A23" s="1" t="s">
        <v>562</v>
      </c>
      <c r="B23" s="1" t="s">
        <v>563</v>
      </c>
      <c r="C23" s="1" t="s">
        <v>1594</v>
      </c>
      <c r="D23" s="1" t="s">
        <v>1595</v>
      </c>
      <c r="E23" s="2" t="s">
        <v>499</v>
      </c>
      <c r="F23" s="2" t="s">
        <v>94</v>
      </c>
      <c r="G23" s="48">
        <v>50</v>
      </c>
      <c r="H23" s="48">
        <f t="shared" si="0"/>
        <v>1500</v>
      </c>
    </row>
    <row r="24" spans="1:8" ht="318.75">
      <c r="A24" s="1" t="s">
        <v>567</v>
      </c>
      <c r="B24" s="1" t="s">
        <v>563</v>
      </c>
      <c r="C24" s="1" t="s">
        <v>1594</v>
      </c>
      <c r="D24" s="1" t="s">
        <v>569</v>
      </c>
      <c r="E24" s="2" t="s">
        <v>499</v>
      </c>
      <c r="F24" s="2" t="s">
        <v>38</v>
      </c>
      <c r="G24" s="48">
        <v>50</v>
      </c>
      <c r="H24" s="48">
        <f t="shared" si="0"/>
        <v>500</v>
      </c>
    </row>
    <row r="25" spans="1:8" ht="183" customHeight="1">
      <c r="A25" s="1" t="s">
        <v>571</v>
      </c>
      <c r="B25" s="1" t="s">
        <v>563</v>
      </c>
      <c r="C25" s="1" t="s">
        <v>1594</v>
      </c>
      <c r="D25" s="1" t="s">
        <v>572</v>
      </c>
      <c r="E25" s="2" t="s">
        <v>499</v>
      </c>
      <c r="F25" s="2" t="s">
        <v>1580</v>
      </c>
      <c r="G25" s="48">
        <v>50</v>
      </c>
      <c r="H25" s="48">
        <f t="shared" si="0"/>
        <v>750</v>
      </c>
    </row>
    <row r="26" spans="1:8" ht="183" customHeight="1">
      <c r="A26" s="1" t="s">
        <v>574</v>
      </c>
      <c r="B26" s="1" t="s">
        <v>563</v>
      </c>
      <c r="C26" s="1" t="s">
        <v>1594</v>
      </c>
      <c r="D26" s="1" t="s">
        <v>1597</v>
      </c>
      <c r="E26" s="2" t="s">
        <v>499</v>
      </c>
      <c r="F26" s="2" t="s">
        <v>18</v>
      </c>
      <c r="G26" s="48">
        <v>45</v>
      </c>
      <c r="H26" s="48">
        <f t="shared" si="0"/>
        <v>135</v>
      </c>
    </row>
    <row r="27" spans="1:8" ht="102">
      <c r="A27" s="1" t="s">
        <v>576</v>
      </c>
      <c r="B27" s="1" t="s">
        <v>587</v>
      </c>
      <c r="C27" s="1" t="s">
        <v>1598</v>
      </c>
      <c r="D27" s="1" t="s">
        <v>553</v>
      </c>
      <c r="E27" s="2" t="s">
        <v>516</v>
      </c>
      <c r="F27" s="2" t="s">
        <v>1077</v>
      </c>
      <c r="G27" s="48">
        <v>6</v>
      </c>
      <c r="H27" s="48">
        <f t="shared" si="0"/>
        <v>1560</v>
      </c>
    </row>
    <row r="28" spans="1:8" ht="89.25">
      <c r="A28" s="1" t="s">
        <v>579</v>
      </c>
      <c r="B28" s="1" t="s">
        <v>587</v>
      </c>
      <c r="C28" s="1" t="s">
        <v>591</v>
      </c>
      <c r="D28" s="1" t="s">
        <v>1599</v>
      </c>
      <c r="E28" s="2" t="s">
        <v>516</v>
      </c>
      <c r="F28" s="2" t="s">
        <v>67</v>
      </c>
      <c r="G28" s="48">
        <v>2</v>
      </c>
      <c r="H28" s="48">
        <f t="shared" si="0"/>
        <v>40</v>
      </c>
    </row>
    <row r="29" spans="1:8" ht="76.5">
      <c r="A29" s="1" t="s">
        <v>581</v>
      </c>
      <c r="B29" s="1" t="s">
        <v>1269</v>
      </c>
      <c r="C29" s="1" t="s">
        <v>1601</v>
      </c>
      <c r="D29" s="1" t="s">
        <v>1602</v>
      </c>
      <c r="E29" s="2" t="s">
        <v>516</v>
      </c>
      <c r="F29" s="2" t="s">
        <v>1603</v>
      </c>
      <c r="G29" s="48">
        <v>25</v>
      </c>
      <c r="H29" s="48">
        <f t="shared" si="0"/>
        <v>3250</v>
      </c>
    </row>
    <row r="30" spans="1:8" ht="183" customHeight="1">
      <c r="A30" s="1" t="s">
        <v>583</v>
      </c>
      <c r="B30" s="1" t="s">
        <v>1269</v>
      </c>
      <c r="C30" s="1" t="s">
        <v>1605</v>
      </c>
      <c r="D30" s="1" t="s">
        <v>1606</v>
      </c>
      <c r="E30" s="2" t="s">
        <v>516</v>
      </c>
      <c r="F30" s="2" t="s">
        <v>1603</v>
      </c>
      <c r="G30" s="48">
        <v>1.5</v>
      </c>
      <c r="H30" s="48">
        <f>F30*G30</f>
        <v>195</v>
      </c>
    </row>
    <row r="31" spans="1:8" ht="76.5">
      <c r="A31" s="1" t="s">
        <v>586</v>
      </c>
      <c r="B31" s="1" t="s">
        <v>1269</v>
      </c>
      <c r="C31" s="1" t="s">
        <v>606</v>
      </c>
      <c r="D31" s="1" t="s">
        <v>1607</v>
      </c>
      <c r="E31" s="2" t="s">
        <v>1608</v>
      </c>
      <c r="F31" s="2" t="s">
        <v>1609</v>
      </c>
      <c r="G31" s="48">
        <v>1</v>
      </c>
      <c r="H31" s="48">
        <f t="shared" si="0"/>
        <v>85</v>
      </c>
    </row>
    <row r="32" spans="1:8" ht="76.5">
      <c r="A32" s="1" t="s">
        <v>590</v>
      </c>
      <c r="B32" s="1" t="s">
        <v>1269</v>
      </c>
      <c r="C32" s="1" t="s">
        <v>1610</v>
      </c>
      <c r="D32" s="1" t="s">
        <v>1611</v>
      </c>
      <c r="E32" s="2" t="s">
        <v>516</v>
      </c>
      <c r="F32" s="2" t="s">
        <v>1603</v>
      </c>
      <c r="G32" s="48">
        <v>2</v>
      </c>
      <c r="H32" s="48">
        <f t="shared" si="0"/>
        <v>260</v>
      </c>
    </row>
    <row r="33" spans="1:10" ht="76.5">
      <c r="A33" s="1" t="s">
        <v>594</v>
      </c>
      <c r="B33" s="1" t="s">
        <v>1269</v>
      </c>
      <c r="C33" s="1" t="s">
        <v>614</v>
      </c>
      <c r="D33" s="1" t="s">
        <v>1612</v>
      </c>
      <c r="E33" s="2" t="s">
        <v>516</v>
      </c>
      <c r="F33" s="2" t="s">
        <v>1603</v>
      </c>
      <c r="G33" s="48">
        <v>0.5</v>
      </c>
      <c r="H33" s="48">
        <f t="shared" si="0"/>
        <v>65</v>
      </c>
    </row>
    <row r="34" spans="1:10" ht="76.5">
      <c r="A34" s="1" t="s">
        <v>597</v>
      </c>
      <c r="B34" s="1" t="s">
        <v>1269</v>
      </c>
      <c r="C34" s="1" t="s">
        <v>614</v>
      </c>
      <c r="D34" s="1" t="s">
        <v>617</v>
      </c>
      <c r="E34" s="2" t="s">
        <v>1608</v>
      </c>
      <c r="F34" s="2" t="s">
        <v>1609</v>
      </c>
      <c r="G34" s="48">
        <v>1</v>
      </c>
      <c r="H34" s="48">
        <f t="shared" si="0"/>
        <v>85</v>
      </c>
    </row>
    <row r="35" spans="1:10" ht="76.5">
      <c r="A35" s="1" t="s">
        <v>602</v>
      </c>
      <c r="B35" s="1" t="s">
        <v>1269</v>
      </c>
      <c r="C35" s="1" t="s">
        <v>619</v>
      </c>
      <c r="D35" s="1" t="s">
        <v>1613</v>
      </c>
      <c r="E35" s="2" t="s">
        <v>585</v>
      </c>
      <c r="F35" s="2" t="s">
        <v>1559</v>
      </c>
      <c r="G35" s="48">
        <v>0</v>
      </c>
      <c r="H35" s="48">
        <f t="shared" si="0"/>
        <v>0</v>
      </c>
    </row>
    <row r="36" spans="1:10" ht="76.5">
      <c r="A36" s="1" t="s">
        <v>605</v>
      </c>
      <c r="B36" s="1" t="s">
        <v>1269</v>
      </c>
      <c r="C36" s="1" t="s">
        <v>619</v>
      </c>
      <c r="D36" s="1" t="s">
        <v>622</v>
      </c>
      <c r="E36" s="2" t="s">
        <v>13</v>
      </c>
      <c r="F36" s="2" t="s">
        <v>8</v>
      </c>
      <c r="G36" s="48">
        <v>0</v>
      </c>
      <c r="H36" s="48">
        <f t="shared" si="0"/>
        <v>0</v>
      </c>
    </row>
    <row r="37" spans="1:10" ht="63.75">
      <c r="A37" s="1" t="s">
        <v>610</v>
      </c>
      <c r="B37" s="1" t="s">
        <v>624</v>
      </c>
      <c r="C37" s="1" t="s">
        <v>628</v>
      </c>
      <c r="D37" s="1" t="s">
        <v>1614</v>
      </c>
      <c r="E37" s="2" t="s">
        <v>1608</v>
      </c>
      <c r="F37" s="2" t="s">
        <v>38</v>
      </c>
      <c r="G37" s="48">
        <v>15</v>
      </c>
      <c r="H37" s="48">
        <f t="shared" si="0"/>
        <v>150</v>
      </c>
    </row>
    <row r="38" spans="1:10" ht="51">
      <c r="A38" s="1" t="s">
        <v>613</v>
      </c>
      <c r="B38" s="1" t="s">
        <v>624</v>
      </c>
      <c r="C38" s="1" t="s">
        <v>631</v>
      </c>
      <c r="D38" s="1" t="s">
        <v>1615</v>
      </c>
      <c r="E38" s="2" t="s">
        <v>585</v>
      </c>
      <c r="F38" s="2" t="s">
        <v>8</v>
      </c>
      <c r="G38" s="48">
        <v>100</v>
      </c>
      <c r="H38" s="48">
        <f t="shared" si="0"/>
        <v>100</v>
      </c>
    </row>
    <row r="39" spans="1:10" ht="51">
      <c r="A39" s="1" t="s">
        <v>616</v>
      </c>
      <c r="B39" s="1" t="s">
        <v>634</v>
      </c>
      <c r="C39" s="1" t="s">
        <v>1616</v>
      </c>
      <c r="D39" s="1" t="s">
        <v>1617</v>
      </c>
      <c r="E39" s="2" t="s">
        <v>13</v>
      </c>
      <c r="F39" s="2" t="s">
        <v>8</v>
      </c>
      <c r="G39" s="48">
        <v>0</v>
      </c>
      <c r="H39" s="48">
        <f t="shared" si="0"/>
        <v>0</v>
      </c>
    </row>
    <row r="40" spans="1:10" ht="51">
      <c r="A40" s="1" t="s">
        <v>618</v>
      </c>
      <c r="B40" s="1" t="s">
        <v>634</v>
      </c>
      <c r="C40" s="1" t="s">
        <v>1616</v>
      </c>
      <c r="D40" s="1" t="s">
        <v>1618</v>
      </c>
      <c r="E40" s="2" t="s">
        <v>13</v>
      </c>
      <c r="F40" s="2" t="s">
        <v>8</v>
      </c>
      <c r="G40" s="48">
        <v>0</v>
      </c>
      <c r="H40" s="48">
        <f t="shared" si="0"/>
        <v>0</v>
      </c>
    </row>
    <row r="41" spans="1:10" ht="51">
      <c r="A41" s="1" t="s">
        <v>621</v>
      </c>
      <c r="B41" s="1" t="s">
        <v>634</v>
      </c>
      <c r="C41" s="1" t="s">
        <v>1616</v>
      </c>
      <c r="D41" s="1" t="s">
        <v>1619</v>
      </c>
      <c r="E41" s="2" t="s">
        <v>13</v>
      </c>
      <c r="F41" s="2" t="s">
        <v>8</v>
      </c>
      <c r="G41" s="48">
        <v>0</v>
      </c>
      <c r="H41" s="48">
        <f t="shared" si="0"/>
        <v>0</v>
      </c>
      <c r="J41" s="46"/>
    </row>
    <row r="42" spans="1:10" ht="51">
      <c r="A42" s="1" t="s">
        <v>623</v>
      </c>
      <c r="B42" s="1" t="s">
        <v>634</v>
      </c>
      <c r="C42" s="1" t="s">
        <v>1616</v>
      </c>
      <c r="D42" s="1" t="s">
        <v>1620</v>
      </c>
      <c r="E42" s="2" t="s">
        <v>13</v>
      </c>
      <c r="F42" s="2" t="s">
        <v>8</v>
      </c>
      <c r="G42" s="48">
        <v>0</v>
      </c>
      <c r="H42" s="48">
        <f t="shared" si="0"/>
        <v>0</v>
      </c>
    </row>
    <row r="43" spans="1:10" ht="183" customHeight="1">
      <c r="A43" s="1" t="s">
        <v>627</v>
      </c>
      <c r="B43" s="1" t="s">
        <v>634</v>
      </c>
      <c r="C43" s="1" t="s">
        <v>1621</v>
      </c>
      <c r="D43" s="1" t="s">
        <v>1622</v>
      </c>
      <c r="E43" s="2" t="s">
        <v>585</v>
      </c>
      <c r="F43" s="2" t="s">
        <v>8</v>
      </c>
      <c r="G43" s="48">
        <v>355</v>
      </c>
      <c r="H43" s="48">
        <f t="shared" si="0"/>
        <v>355</v>
      </c>
    </row>
    <row r="44" spans="1:10" ht="183" customHeight="1">
      <c r="A44" s="1" t="s">
        <v>630</v>
      </c>
      <c r="B44" s="1" t="s">
        <v>634</v>
      </c>
      <c r="C44" s="1" t="s">
        <v>1621</v>
      </c>
      <c r="D44" s="1" t="s">
        <v>1623</v>
      </c>
      <c r="E44" s="2" t="s">
        <v>585</v>
      </c>
      <c r="F44" s="2" t="s">
        <v>8</v>
      </c>
      <c r="G44" s="48">
        <v>410</v>
      </c>
      <c r="H44" s="48">
        <f t="shared" si="0"/>
        <v>410</v>
      </c>
    </row>
    <row r="45" spans="1:10" ht="255">
      <c r="A45" s="1" t="s">
        <v>633</v>
      </c>
      <c r="B45" s="1" t="s">
        <v>634</v>
      </c>
      <c r="C45" s="1" t="s">
        <v>1621</v>
      </c>
      <c r="D45" s="1" t="s">
        <v>1624</v>
      </c>
      <c r="E45" s="2" t="s">
        <v>585</v>
      </c>
      <c r="F45" s="2" t="s">
        <v>1557</v>
      </c>
      <c r="G45" s="48">
        <v>400</v>
      </c>
      <c r="H45" s="48">
        <f t="shared" si="0"/>
        <v>1600</v>
      </c>
    </row>
    <row r="46" spans="1:10" ht="255">
      <c r="A46" s="1" t="s">
        <v>637</v>
      </c>
      <c r="B46" s="1" t="s">
        <v>634</v>
      </c>
      <c r="C46" s="1" t="s">
        <v>1621</v>
      </c>
      <c r="D46" s="1" t="s">
        <v>1625</v>
      </c>
      <c r="E46" s="2" t="s">
        <v>585</v>
      </c>
      <c r="F46" s="2" t="s">
        <v>1553</v>
      </c>
      <c r="G46" s="48">
        <v>400</v>
      </c>
      <c r="H46" s="48">
        <f t="shared" si="0"/>
        <v>800</v>
      </c>
    </row>
    <row r="47" spans="1:10" ht="255">
      <c r="A47" s="1" t="s">
        <v>639</v>
      </c>
      <c r="B47" s="1" t="s">
        <v>634</v>
      </c>
      <c r="C47" s="1" t="s">
        <v>1621</v>
      </c>
      <c r="D47" s="1" t="s">
        <v>1626</v>
      </c>
      <c r="E47" s="2" t="s">
        <v>1627</v>
      </c>
      <c r="F47" s="2" t="s">
        <v>8</v>
      </c>
      <c r="G47" s="48">
        <v>400</v>
      </c>
      <c r="H47" s="48">
        <f t="shared" si="0"/>
        <v>400</v>
      </c>
    </row>
    <row r="48" spans="1:10" ht="255">
      <c r="A48" s="1" t="s">
        <v>641</v>
      </c>
      <c r="B48" s="1" t="s">
        <v>634</v>
      </c>
      <c r="C48" s="1" t="s">
        <v>1621</v>
      </c>
      <c r="D48" s="1" t="s">
        <v>1628</v>
      </c>
      <c r="E48" s="2" t="s">
        <v>585</v>
      </c>
      <c r="F48" s="2" t="s">
        <v>8</v>
      </c>
      <c r="G48" s="48">
        <v>400</v>
      </c>
      <c r="H48" s="48">
        <f t="shared" si="0"/>
        <v>400</v>
      </c>
    </row>
    <row r="49" spans="1:10" ht="280.5">
      <c r="A49" s="1" t="s">
        <v>643</v>
      </c>
      <c r="B49" s="1" t="s">
        <v>634</v>
      </c>
      <c r="C49" s="1" t="s">
        <v>1629</v>
      </c>
      <c r="D49" s="1" t="s">
        <v>1622</v>
      </c>
      <c r="E49" s="2" t="s">
        <v>13</v>
      </c>
      <c r="F49" s="2" t="s">
        <v>8</v>
      </c>
      <c r="G49" s="48">
        <v>400</v>
      </c>
      <c r="H49" s="48">
        <f t="shared" si="0"/>
        <v>400</v>
      </c>
    </row>
    <row r="50" spans="1:10" ht="280.5">
      <c r="A50" s="1" t="s">
        <v>646</v>
      </c>
      <c r="B50" s="1" t="s">
        <v>634</v>
      </c>
      <c r="C50" s="1" t="s">
        <v>1629</v>
      </c>
      <c r="D50" s="1" t="s">
        <v>1623</v>
      </c>
      <c r="E50" s="2" t="s">
        <v>13</v>
      </c>
      <c r="F50" s="2" t="s">
        <v>8</v>
      </c>
      <c r="G50" s="48">
        <v>400</v>
      </c>
      <c r="H50" s="48">
        <f t="shared" si="0"/>
        <v>400</v>
      </c>
    </row>
    <row r="51" spans="1:10" ht="280.5">
      <c r="A51" s="1" t="s">
        <v>648</v>
      </c>
      <c r="B51" s="1" t="s">
        <v>634</v>
      </c>
      <c r="C51" s="1" t="s">
        <v>1629</v>
      </c>
      <c r="D51" s="1" t="s">
        <v>1624</v>
      </c>
      <c r="E51" s="1" t="s">
        <v>13</v>
      </c>
      <c r="F51" s="2" t="s">
        <v>8</v>
      </c>
      <c r="G51" s="48">
        <v>400</v>
      </c>
      <c r="H51" s="48">
        <f t="shared" si="0"/>
        <v>400</v>
      </c>
      <c r="I51" s="70">
        <f>SUM(H2:H51)</f>
        <v>25875</v>
      </c>
      <c r="J51" s="46"/>
    </row>
    <row r="52" spans="1:10" ht="280.5">
      <c r="A52" s="1" t="s">
        <v>651</v>
      </c>
      <c r="B52" s="1" t="s">
        <v>634</v>
      </c>
      <c r="C52" s="1" t="s">
        <v>1629</v>
      </c>
      <c r="D52" s="1" t="s">
        <v>1625</v>
      </c>
      <c r="E52" s="1" t="s">
        <v>13</v>
      </c>
      <c r="F52" s="2" t="s">
        <v>8</v>
      </c>
      <c r="G52" s="48">
        <v>400</v>
      </c>
      <c r="H52" s="48">
        <f t="shared" si="0"/>
        <v>400</v>
      </c>
    </row>
    <row r="53" spans="1:10" ht="280.5">
      <c r="A53" s="1" t="s">
        <v>653</v>
      </c>
      <c r="B53" s="1" t="s">
        <v>634</v>
      </c>
      <c r="C53" s="1" t="s">
        <v>1629</v>
      </c>
      <c r="D53" s="1" t="s">
        <v>1626</v>
      </c>
      <c r="E53" s="1" t="s">
        <v>13</v>
      </c>
      <c r="F53" s="2" t="s">
        <v>8</v>
      </c>
      <c r="G53" s="48">
        <v>400</v>
      </c>
      <c r="H53" s="48">
        <f t="shared" si="0"/>
        <v>400</v>
      </c>
    </row>
    <row r="54" spans="1:10" ht="280.5">
      <c r="A54" s="1" t="s">
        <v>655</v>
      </c>
      <c r="B54" s="1" t="s">
        <v>634</v>
      </c>
      <c r="C54" s="1" t="s">
        <v>1629</v>
      </c>
      <c r="D54" s="1" t="s">
        <v>1628</v>
      </c>
      <c r="E54" s="1" t="s">
        <v>13</v>
      </c>
      <c r="F54" s="2" t="s">
        <v>8</v>
      </c>
      <c r="G54" s="48">
        <v>400</v>
      </c>
      <c r="H54" s="48">
        <f t="shared" si="0"/>
        <v>400</v>
      </c>
    </row>
    <row r="55" spans="1:10" ht="76.5">
      <c r="A55" s="1" t="s">
        <v>657</v>
      </c>
      <c r="B55" s="1" t="s">
        <v>634</v>
      </c>
      <c r="C55" s="1" t="s">
        <v>1630</v>
      </c>
      <c r="D55" s="1" t="s">
        <v>666</v>
      </c>
      <c r="E55" s="1" t="s">
        <v>13</v>
      </c>
      <c r="F55" s="2" t="s">
        <v>8</v>
      </c>
      <c r="G55" s="48">
        <v>100</v>
      </c>
      <c r="H55" s="48">
        <f t="shared" si="0"/>
        <v>100</v>
      </c>
    </row>
    <row r="56" spans="1:10" ht="114.75">
      <c r="A56" s="1" t="s">
        <v>659</v>
      </c>
      <c r="B56" s="1" t="s">
        <v>634</v>
      </c>
      <c r="C56" s="1" t="s">
        <v>1631</v>
      </c>
      <c r="D56" s="1" t="s">
        <v>1632</v>
      </c>
      <c r="E56" s="1" t="s">
        <v>585</v>
      </c>
      <c r="F56" s="2" t="s">
        <v>1575</v>
      </c>
      <c r="G56" s="48">
        <v>50</v>
      </c>
      <c r="H56" s="48">
        <f t="shared" si="0"/>
        <v>650</v>
      </c>
    </row>
    <row r="57" spans="1:10" ht="114.75">
      <c r="A57" s="1" t="s">
        <v>660</v>
      </c>
      <c r="B57" s="1" t="s">
        <v>634</v>
      </c>
      <c r="C57" s="1" t="s">
        <v>1631</v>
      </c>
      <c r="D57" s="1" t="s">
        <v>1633</v>
      </c>
      <c r="E57" s="1" t="s">
        <v>585</v>
      </c>
      <c r="F57" s="2" t="s">
        <v>8</v>
      </c>
      <c r="G57" s="48">
        <v>50</v>
      </c>
      <c r="H57" s="48">
        <f t="shared" si="0"/>
        <v>50</v>
      </c>
    </row>
    <row r="58" spans="1:10" ht="114.75">
      <c r="A58" s="1" t="s">
        <v>661</v>
      </c>
      <c r="B58" s="1" t="s">
        <v>634</v>
      </c>
      <c r="C58" s="1" t="s">
        <v>1634</v>
      </c>
      <c r="D58" s="1" t="s">
        <v>1635</v>
      </c>
      <c r="E58" s="1" t="s">
        <v>585</v>
      </c>
      <c r="F58" s="2" t="s">
        <v>1553</v>
      </c>
      <c r="G58" s="48">
        <v>50</v>
      </c>
      <c r="H58" s="48">
        <f t="shared" si="0"/>
        <v>100</v>
      </c>
    </row>
    <row r="59" spans="1:10" ht="76.5">
      <c r="A59" s="1" t="s">
        <v>662</v>
      </c>
      <c r="B59" s="1" t="s">
        <v>680</v>
      </c>
      <c r="C59" s="1" t="s">
        <v>1636</v>
      </c>
      <c r="D59" s="1" t="s">
        <v>682</v>
      </c>
      <c r="E59" s="1" t="s">
        <v>516</v>
      </c>
      <c r="F59" s="2" t="s">
        <v>528</v>
      </c>
      <c r="G59" s="48">
        <v>1</v>
      </c>
      <c r="H59" s="48">
        <f t="shared" si="0"/>
        <v>600</v>
      </c>
    </row>
    <row r="60" spans="1:10" ht="76.5">
      <c r="A60" s="1" t="s">
        <v>663</v>
      </c>
      <c r="B60" s="1" t="s">
        <v>680</v>
      </c>
      <c r="C60" s="1" t="s">
        <v>1637</v>
      </c>
      <c r="D60" s="1" t="s">
        <v>686</v>
      </c>
      <c r="E60" s="1" t="s">
        <v>516</v>
      </c>
      <c r="F60" s="2" t="s">
        <v>1638</v>
      </c>
      <c r="G60" s="48">
        <v>1.5</v>
      </c>
      <c r="H60" s="48">
        <f t="shared" si="0"/>
        <v>720</v>
      </c>
    </row>
    <row r="61" spans="1:10" ht="51">
      <c r="A61" s="1" t="s">
        <v>664</v>
      </c>
      <c r="B61" s="1" t="s">
        <v>680</v>
      </c>
      <c r="C61" s="1" t="s">
        <v>1639</v>
      </c>
      <c r="D61" s="1" t="s">
        <v>690</v>
      </c>
      <c r="E61" s="1" t="s">
        <v>491</v>
      </c>
      <c r="F61" s="2" t="s">
        <v>8</v>
      </c>
      <c r="G61" s="48">
        <v>500</v>
      </c>
      <c r="H61" s="48">
        <f t="shared" si="0"/>
        <v>500</v>
      </c>
    </row>
    <row r="62" spans="1:10" ht="63.75">
      <c r="A62" s="1" t="s">
        <v>667</v>
      </c>
      <c r="B62" s="1" t="s">
        <v>680</v>
      </c>
      <c r="C62" s="1" t="s">
        <v>1640</v>
      </c>
      <c r="D62" s="1" t="s">
        <v>1641</v>
      </c>
      <c r="E62" s="1" t="s">
        <v>516</v>
      </c>
      <c r="F62" s="2" t="s">
        <v>1609</v>
      </c>
      <c r="G62" s="48">
        <v>3</v>
      </c>
      <c r="H62" s="48">
        <f t="shared" si="0"/>
        <v>255</v>
      </c>
    </row>
    <row r="63" spans="1:10" ht="63.75">
      <c r="A63" s="1" t="s">
        <v>670</v>
      </c>
      <c r="B63" s="1" t="s">
        <v>680</v>
      </c>
      <c r="C63" s="1" t="s">
        <v>1642</v>
      </c>
      <c r="D63" s="1" t="s">
        <v>1641</v>
      </c>
      <c r="E63" s="1" t="s">
        <v>516</v>
      </c>
      <c r="F63" s="2" t="s">
        <v>1572</v>
      </c>
      <c r="G63" s="48">
        <v>3</v>
      </c>
      <c r="H63" s="48">
        <f t="shared" si="0"/>
        <v>36</v>
      </c>
    </row>
    <row r="64" spans="1:10" ht="63.75">
      <c r="A64" s="1" t="s">
        <v>672</v>
      </c>
      <c r="B64" s="1" t="s">
        <v>680</v>
      </c>
      <c r="C64" s="1" t="s">
        <v>1643</v>
      </c>
      <c r="D64" s="1" t="s">
        <v>1644</v>
      </c>
      <c r="E64" s="1" t="s">
        <v>516</v>
      </c>
      <c r="F64" s="2" t="s">
        <v>38</v>
      </c>
      <c r="G64" s="48">
        <v>3</v>
      </c>
      <c r="H64" s="48">
        <f t="shared" si="0"/>
        <v>30</v>
      </c>
    </row>
    <row r="65" spans="1:8" ht="63.75">
      <c r="A65" s="1" t="s">
        <v>674</v>
      </c>
      <c r="B65" s="1" t="s">
        <v>680</v>
      </c>
      <c r="C65" s="1" t="s">
        <v>1645</v>
      </c>
      <c r="D65" s="1" t="s">
        <v>702</v>
      </c>
      <c r="E65" s="1" t="s">
        <v>516</v>
      </c>
      <c r="F65" s="2" t="s">
        <v>67</v>
      </c>
      <c r="G65" s="48">
        <v>4</v>
      </c>
      <c r="H65" s="48">
        <f t="shared" si="0"/>
        <v>80</v>
      </c>
    </row>
    <row r="66" spans="1:8" ht="63.75">
      <c r="A66" s="1" t="s">
        <v>676</v>
      </c>
      <c r="B66" s="1" t="s">
        <v>680</v>
      </c>
      <c r="C66" s="1" t="s">
        <v>1647</v>
      </c>
      <c r="D66" s="1" t="s">
        <v>715</v>
      </c>
      <c r="E66" s="1" t="s">
        <v>516</v>
      </c>
      <c r="F66" s="2" t="s">
        <v>1559</v>
      </c>
      <c r="G66" s="48">
        <v>4</v>
      </c>
      <c r="H66" s="48">
        <f t="shared" si="0"/>
        <v>20</v>
      </c>
    </row>
    <row r="67" spans="1:8" ht="63.75">
      <c r="A67" s="1" t="s">
        <v>679</v>
      </c>
      <c r="B67" s="1" t="s">
        <v>680</v>
      </c>
      <c r="C67" s="1" t="s">
        <v>1648</v>
      </c>
      <c r="D67" s="1" t="s">
        <v>718</v>
      </c>
      <c r="E67" s="1" t="s">
        <v>1608</v>
      </c>
      <c r="F67" s="2" t="s">
        <v>297</v>
      </c>
      <c r="G67" s="48">
        <v>3</v>
      </c>
      <c r="H67" s="48">
        <f t="shared" ref="H67:H130" si="1">F67*G67</f>
        <v>300</v>
      </c>
    </row>
    <row r="68" spans="1:8" ht="63.75">
      <c r="A68" s="1" t="s">
        <v>684</v>
      </c>
      <c r="B68" s="1" t="s">
        <v>680</v>
      </c>
      <c r="C68" s="1" t="s">
        <v>1649</v>
      </c>
      <c r="D68" s="1" t="s">
        <v>702</v>
      </c>
      <c r="E68" s="1" t="s">
        <v>1608</v>
      </c>
      <c r="F68" s="2" t="s">
        <v>67</v>
      </c>
      <c r="G68" s="48">
        <v>4</v>
      </c>
      <c r="H68" s="48">
        <f t="shared" si="1"/>
        <v>80</v>
      </c>
    </row>
    <row r="69" spans="1:8" ht="63.75">
      <c r="A69" s="1" t="s">
        <v>688</v>
      </c>
      <c r="B69" s="1" t="s">
        <v>680</v>
      </c>
      <c r="C69" s="1" t="s">
        <v>1650</v>
      </c>
      <c r="D69" s="1" t="s">
        <v>724</v>
      </c>
      <c r="E69" s="1" t="s">
        <v>13</v>
      </c>
      <c r="F69" s="2" t="s">
        <v>8</v>
      </c>
      <c r="G69" s="48">
        <v>0</v>
      </c>
      <c r="H69" s="48">
        <f t="shared" si="1"/>
        <v>0</v>
      </c>
    </row>
    <row r="70" spans="1:8" ht="63.75">
      <c r="A70" s="1" t="s">
        <v>691</v>
      </c>
      <c r="B70" s="1" t="s">
        <v>680</v>
      </c>
      <c r="C70" s="1" t="s">
        <v>1650</v>
      </c>
      <c r="D70" s="1" t="s">
        <v>1651</v>
      </c>
      <c r="E70" s="1" t="s">
        <v>516</v>
      </c>
      <c r="F70" s="2" t="s">
        <v>1652</v>
      </c>
      <c r="G70" s="48">
        <v>5</v>
      </c>
      <c r="H70" s="48">
        <f t="shared" si="1"/>
        <v>2350</v>
      </c>
    </row>
    <row r="71" spans="1:8" ht="51">
      <c r="A71" s="1" t="s">
        <v>695</v>
      </c>
      <c r="B71" s="1" t="s">
        <v>680</v>
      </c>
      <c r="C71" s="1" t="s">
        <v>1653</v>
      </c>
      <c r="D71" s="1" t="s">
        <v>730</v>
      </c>
      <c r="E71" s="1" t="s">
        <v>13</v>
      </c>
      <c r="F71" s="2" t="s">
        <v>38</v>
      </c>
      <c r="G71" s="48">
        <v>5</v>
      </c>
      <c r="H71" s="48">
        <f t="shared" si="1"/>
        <v>50</v>
      </c>
    </row>
    <row r="72" spans="1:8" ht="51">
      <c r="A72" s="1" t="s">
        <v>698</v>
      </c>
      <c r="B72" s="1" t="s">
        <v>680</v>
      </c>
      <c r="C72" s="1" t="s">
        <v>1654</v>
      </c>
      <c r="D72" s="1" t="s">
        <v>1655</v>
      </c>
      <c r="E72" s="1" t="s">
        <v>516</v>
      </c>
      <c r="F72" s="2" t="s">
        <v>521</v>
      </c>
      <c r="G72" s="48">
        <v>1</v>
      </c>
      <c r="H72" s="48">
        <f t="shared" si="1"/>
        <v>300</v>
      </c>
    </row>
    <row r="73" spans="1:8" ht="51">
      <c r="A73" s="1" t="s">
        <v>700</v>
      </c>
      <c r="B73" s="1" t="s">
        <v>680</v>
      </c>
      <c r="C73" s="1" t="s">
        <v>1656</v>
      </c>
      <c r="D73" s="1" t="s">
        <v>738</v>
      </c>
      <c r="E73" s="1" t="s">
        <v>516</v>
      </c>
      <c r="F73" s="2" t="s">
        <v>120</v>
      </c>
      <c r="G73" s="48">
        <v>3</v>
      </c>
      <c r="H73" s="48">
        <f t="shared" si="1"/>
        <v>120</v>
      </c>
    </row>
    <row r="74" spans="1:8" ht="51">
      <c r="A74" s="1" t="s">
        <v>703</v>
      </c>
      <c r="B74" s="1" t="s">
        <v>680</v>
      </c>
      <c r="C74" s="1" t="s">
        <v>1657</v>
      </c>
      <c r="D74" s="1" t="s">
        <v>738</v>
      </c>
      <c r="E74" s="1" t="s">
        <v>516</v>
      </c>
      <c r="F74" s="2" t="s">
        <v>1646</v>
      </c>
      <c r="G74" s="48">
        <v>3</v>
      </c>
      <c r="H74" s="48">
        <f t="shared" si="1"/>
        <v>195</v>
      </c>
    </row>
    <row r="75" spans="1:8" ht="51">
      <c r="A75" s="1" t="s">
        <v>707</v>
      </c>
      <c r="B75" s="1" t="s">
        <v>680</v>
      </c>
      <c r="C75" s="1" t="s">
        <v>1658</v>
      </c>
      <c r="D75" s="1" t="s">
        <v>1655</v>
      </c>
      <c r="E75" s="1" t="s">
        <v>516</v>
      </c>
      <c r="F75" s="2" t="s">
        <v>650</v>
      </c>
      <c r="G75" s="48">
        <v>1</v>
      </c>
      <c r="H75" s="48">
        <f t="shared" si="1"/>
        <v>160</v>
      </c>
    </row>
    <row r="76" spans="1:8" ht="51">
      <c r="A76" s="1" t="s">
        <v>710</v>
      </c>
      <c r="B76" s="1" t="s">
        <v>680</v>
      </c>
      <c r="C76" s="1" t="s">
        <v>1659</v>
      </c>
      <c r="D76" s="1" t="s">
        <v>1655</v>
      </c>
      <c r="E76" s="1" t="s">
        <v>516</v>
      </c>
      <c r="F76" s="2" t="s">
        <v>1609</v>
      </c>
      <c r="G76" s="48">
        <v>1</v>
      </c>
      <c r="H76" s="48">
        <f t="shared" si="1"/>
        <v>85</v>
      </c>
    </row>
    <row r="77" spans="1:8" ht="51">
      <c r="A77" s="1" t="s">
        <v>713</v>
      </c>
      <c r="B77" s="1" t="s">
        <v>680</v>
      </c>
      <c r="C77" s="1" t="s">
        <v>1660</v>
      </c>
      <c r="D77" s="1" t="s">
        <v>1655</v>
      </c>
      <c r="E77" s="1" t="s">
        <v>516</v>
      </c>
      <c r="F77" s="2" t="s">
        <v>1572</v>
      </c>
      <c r="G77" s="48">
        <v>1</v>
      </c>
      <c r="H77" s="48">
        <f t="shared" si="1"/>
        <v>12</v>
      </c>
    </row>
    <row r="78" spans="1:8" ht="51">
      <c r="A78" s="1" t="s">
        <v>716</v>
      </c>
      <c r="B78" s="1" t="s">
        <v>680</v>
      </c>
      <c r="C78" s="1" t="s">
        <v>1661</v>
      </c>
      <c r="D78" s="1" t="s">
        <v>1655</v>
      </c>
      <c r="E78" s="1" t="s">
        <v>516</v>
      </c>
      <c r="F78" s="2" t="s">
        <v>38</v>
      </c>
      <c r="G78" s="48">
        <v>1</v>
      </c>
      <c r="H78" s="48">
        <f t="shared" si="1"/>
        <v>10</v>
      </c>
    </row>
    <row r="79" spans="1:8" ht="51">
      <c r="A79" s="1" t="s">
        <v>720</v>
      </c>
      <c r="B79" s="1" t="s">
        <v>680</v>
      </c>
      <c r="C79" s="1" t="s">
        <v>1662</v>
      </c>
      <c r="D79" s="1" t="s">
        <v>1655</v>
      </c>
      <c r="E79" s="1" t="s">
        <v>516</v>
      </c>
      <c r="F79" s="2" t="s">
        <v>67</v>
      </c>
      <c r="G79" s="48">
        <v>1</v>
      </c>
      <c r="H79" s="48">
        <f t="shared" si="1"/>
        <v>20</v>
      </c>
    </row>
    <row r="80" spans="1:8" ht="51">
      <c r="A80" s="1" t="s">
        <v>722</v>
      </c>
      <c r="B80" s="1" t="s">
        <v>680</v>
      </c>
      <c r="C80" s="1" t="s">
        <v>1663</v>
      </c>
      <c r="D80" s="1" t="s">
        <v>753</v>
      </c>
      <c r="E80" s="1" t="s">
        <v>13</v>
      </c>
      <c r="F80" s="2" t="s">
        <v>8</v>
      </c>
      <c r="G80" s="48">
        <v>75</v>
      </c>
      <c r="H80" s="48">
        <f t="shared" si="1"/>
        <v>75</v>
      </c>
    </row>
    <row r="81" spans="1:8" ht="51">
      <c r="A81" s="1" t="s">
        <v>725</v>
      </c>
      <c r="B81" s="1" t="s">
        <v>680</v>
      </c>
      <c r="C81" s="1" t="s">
        <v>1664</v>
      </c>
      <c r="D81" s="1" t="s">
        <v>1665</v>
      </c>
      <c r="E81" s="1" t="s">
        <v>13</v>
      </c>
      <c r="F81" s="2" t="s">
        <v>8</v>
      </c>
      <c r="G81" s="48">
        <v>100</v>
      </c>
      <c r="H81" s="48">
        <f t="shared" si="1"/>
        <v>100</v>
      </c>
    </row>
    <row r="82" spans="1:8" ht="51">
      <c r="A82" s="1" t="s">
        <v>728</v>
      </c>
      <c r="B82" s="1" t="s">
        <v>680</v>
      </c>
      <c r="C82" s="1" t="s">
        <v>1666</v>
      </c>
      <c r="D82" s="1" t="s">
        <v>759</v>
      </c>
      <c r="E82" s="1" t="s">
        <v>13</v>
      </c>
      <c r="F82" s="2" t="s">
        <v>8</v>
      </c>
      <c r="G82" s="48">
        <v>50</v>
      </c>
      <c r="H82" s="48">
        <f t="shared" si="1"/>
        <v>50</v>
      </c>
    </row>
    <row r="83" spans="1:8" ht="63.75">
      <c r="A83" s="1" t="s">
        <v>732</v>
      </c>
      <c r="B83" s="1" t="s">
        <v>680</v>
      </c>
      <c r="C83" s="1" t="s">
        <v>1667</v>
      </c>
      <c r="D83" s="1" t="s">
        <v>762</v>
      </c>
      <c r="E83" s="1" t="s">
        <v>13</v>
      </c>
      <c r="F83" s="2" t="s">
        <v>8</v>
      </c>
      <c r="G83" s="48">
        <v>100</v>
      </c>
      <c r="H83" s="48">
        <f t="shared" si="1"/>
        <v>100</v>
      </c>
    </row>
    <row r="84" spans="1:8" ht="89.25">
      <c r="A84" s="1" t="s">
        <v>736</v>
      </c>
      <c r="B84" s="1" t="s">
        <v>680</v>
      </c>
      <c r="C84" s="1" t="s">
        <v>1668</v>
      </c>
      <c r="D84" s="1" t="s">
        <v>1669</v>
      </c>
      <c r="E84" s="1" t="s">
        <v>13</v>
      </c>
      <c r="F84" s="2" t="s">
        <v>8</v>
      </c>
      <c r="G84" s="48">
        <v>500</v>
      </c>
      <c r="H84" s="48">
        <f t="shared" si="1"/>
        <v>500</v>
      </c>
    </row>
    <row r="85" spans="1:8" ht="89.25">
      <c r="A85" s="1" t="s">
        <v>740</v>
      </c>
      <c r="B85" s="1" t="s">
        <v>680</v>
      </c>
      <c r="C85" s="1" t="s">
        <v>1670</v>
      </c>
      <c r="D85" s="1" t="s">
        <v>1671</v>
      </c>
      <c r="E85" s="1" t="s">
        <v>13</v>
      </c>
      <c r="F85" s="2" t="s">
        <v>8</v>
      </c>
      <c r="G85" s="48">
        <v>200</v>
      </c>
      <c r="H85" s="48">
        <f t="shared" si="1"/>
        <v>200</v>
      </c>
    </row>
    <row r="86" spans="1:8" ht="114.75">
      <c r="A86" s="1" t="s">
        <v>743</v>
      </c>
      <c r="B86" s="1" t="s">
        <v>680</v>
      </c>
      <c r="C86" s="1" t="s">
        <v>1590</v>
      </c>
      <c r="D86" s="1" t="s">
        <v>557</v>
      </c>
      <c r="E86" s="1" t="s">
        <v>13</v>
      </c>
      <c r="F86" s="2" t="s">
        <v>14</v>
      </c>
      <c r="G86" s="48">
        <v>0</v>
      </c>
      <c r="H86" s="48">
        <f t="shared" si="1"/>
        <v>0</v>
      </c>
    </row>
    <row r="87" spans="1:8" ht="153">
      <c r="A87" s="1" t="s">
        <v>745</v>
      </c>
      <c r="B87" s="1" t="s">
        <v>680</v>
      </c>
      <c r="C87" s="1" t="s">
        <v>1591</v>
      </c>
      <c r="D87" s="1" t="s">
        <v>557</v>
      </c>
      <c r="E87" s="1" t="s">
        <v>13</v>
      </c>
      <c r="F87" s="2" t="s">
        <v>14</v>
      </c>
      <c r="G87" s="48">
        <v>0</v>
      </c>
      <c r="H87" s="48">
        <f t="shared" si="1"/>
        <v>0</v>
      </c>
    </row>
    <row r="88" spans="1:8" ht="140.25">
      <c r="A88" s="1" t="s">
        <v>747</v>
      </c>
      <c r="B88" s="1" t="s">
        <v>680</v>
      </c>
      <c r="C88" s="1" t="s">
        <v>1593</v>
      </c>
      <c r="D88" s="1" t="s">
        <v>557</v>
      </c>
      <c r="E88" s="1" t="s">
        <v>13</v>
      </c>
      <c r="F88" s="2" t="s">
        <v>14</v>
      </c>
      <c r="G88" s="48">
        <v>0</v>
      </c>
      <c r="H88" s="48">
        <f t="shared" si="1"/>
        <v>0</v>
      </c>
    </row>
    <row r="89" spans="1:8" ht="63.75">
      <c r="A89" s="1" t="s">
        <v>1207</v>
      </c>
      <c r="B89" s="1" t="s">
        <v>1672</v>
      </c>
      <c r="C89" s="1" t="s">
        <v>1212</v>
      </c>
      <c r="D89" s="1" t="s">
        <v>1673</v>
      </c>
      <c r="E89" s="1" t="s">
        <v>1608</v>
      </c>
      <c r="F89" s="2" t="s">
        <v>1674</v>
      </c>
      <c r="G89" s="48">
        <v>100</v>
      </c>
      <c r="H89" s="48">
        <f t="shared" si="1"/>
        <v>12800</v>
      </c>
    </row>
    <row r="90" spans="1:8" ht="63.75">
      <c r="A90" s="1" t="s">
        <v>1211</v>
      </c>
      <c r="B90" s="1" t="s">
        <v>1672</v>
      </c>
      <c r="C90" s="1" t="s">
        <v>1216</v>
      </c>
      <c r="D90" s="1" t="s">
        <v>1675</v>
      </c>
      <c r="E90" s="1" t="s">
        <v>13</v>
      </c>
      <c r="F90" s="2" t="s">
        <v>8</v>
      </c>
      <c r="G90" s="48">
        <v>0</v>
      </c>
      <c r="H90" s="48">
        <f t="shared" si="1"/>
        <v>0</v>
      </c>
    </row>
    <row r="91" spans="1:8" ht="76.5">
      <c r="A91" s="1" t="s">
        <v>1215</v>
      </c>
      <c r="B91" s="1" t="s">
        <v>1672</v>
      </c>
      <c r="C91" s="1" t="s">
        <v>1220</v>
      </c>
      <c r="D91" s="1" t="s">
        <v>1676</v>
      </c>
      <c r="E91" s="1" t="s">
        <v>13</v>
      </c>
      <c r="F91" s="2" t="s">
        <v>8</v>
      </c>
      <c r="G91" s="48">
        <v>0</v>
      </c>
      <c r="H91" s="48">
        <f t="shared" si="1"/>
        <v>0</v>
      </c>
    </row>
    <row r="92" spans="1:8" ht="76.5">
      <c r="A92" s="1" t="s">
        <v>1219</v>
      </c>
      <c r="B92" s="1" t="s">
        <v>1672</v>
      </c>
      <c r="C92" s="1" t="s">
        <v>1677</v>
      </c>
      <c r="D92" s="1" t="s">
        <v>1678</v>
      </c>
      <c r="E92" s="1" t="s">
        <v>491</v>
      </c>
      <c r="F92" s="2" t="s">
        <v>8</v>
      </c>
      <c r="G92" s="48">
        <v>1500</v>
      </c>
      <c r="H92" s="48">
        <f t="shared" si="1"/>
        <v>1500</v>
      </c>
    </row>
    <row r="93" spans="1:8" ht="51">
      <c r="A93" s="1" t="s">
        <v>1222</v>
      </c>
      <c r="B93" s="1" t="s">
        <v>1672</v>
      </c>
      <c r="C93" s="1" t="s">
        <v>1216</v>
      </c>
      <c r="D93" s="1" t="s">
        <v>1226</v>
      </c>
      <c r="E93" s="1" t="s">
        <v>13</v>
      </c>
      <c r="F93" s="2" t="s">
        <v>8</v>
      </c>
      <c r="G93" s="48">
        <v>900</v>
      </c>
      <c r="H93" s="48">
        <f t="shared" si="1"/>
        <v>900</v>
      </c>
    </row>
    <row r="94" spans="1:8" ht="51">
      <c r="A94" s="1" t="s">
        <v>1225</v>
      </c>
      <c r="B94" s="1" t="s">
        <v>1672</v>
      </c>
      <c r="C94" s="1" t="s">
        <v>1220</v>
      </c>
      <c r="D94" s="1" t="s">
        <v>1228</v>
      </c>
      <c r="E94" s="1" t="s">
        <v>13</v>
      </c>
      <c r="F94" s="2" t="s">
        <v>8</v>
      </c>
      <c r="G94" s="48">
        <v>1200</v>
      </c>
      <c r="H94" s="48">
        <f t="shared" si="1"/>
        <v>1200</v>
      </c>
    </row>
    <row r="95" spans="1:8" ht="51">
      <c r="A95" s="1" t="s">
        <v>1227</v>
      </c>
      <c r="B95" s="1" t="s">
        <v>1672</v>
      </c>
      <c r="C95" s="1" t="s">
        <v>1230</v>
      </c>
      <c r="D95" s="1" t="s">
        <v>1231</v>
      </c>
      <c r="E95" s="1" t="s">
        <v>585</v>
      </c>
      <c r="F95" s="2" t="s">
        <v>67</v>
      </c>
      <c r="G95" s="48">
        <v>44</v>
      </c>
      <c r="H95" s="48">
        <f t="shared" si="1"/>
        <v>880</v>
      </c>
    </row>
    <row r="96" spans="1:8" ht="51">
      <c r="A96" s="1" t="s">
        <v>1229</v>
      </c>
      <c r="B96" s="1" t="s">
        <v>1672</v>
      </c>
      <c r="C96" s="1" t="s">
        <v>1233</v>
      </c>
      <c r="D96" s="1" t="s">
        <v>1234</v>
      </c>
      <c r="E96" s="1" t="s">
        <v>516</v>
      </c>
      <c r="F96" s="2" t="s">
        <v>811</v>
      </c>
      <c r="G96" s="48">
        <v>5</v>
      </c>
      <c r="H96" s="48">
        <f t="shared" si="1"/>
        <v>900</v>
      </c>
    </row>
    <row r="97" spans="1:9" ht="51">
      <c r="A97" s="1" t="s">
        <v>1232</v>
      </c>
      <c r="B97" s="1" t="s">
        <v>1672</v>
      </c>
      <c r="C97" s="1" t="s">
        <v>1237</v>
      </c>
      <c r="D97" s="1" t="s">
        <v>1234</v>
      </c>
      <c r="E97" s="1" t="s">
        <v>1608</v>
      </c>
      <c r="F97" s="2" t="s">
        <v>238</v>
      </c>
      <c r="G97" s="48">
        <v>8</v>
      </c>
      <c r="H97" s="48">
        <f t="shared" si="1"/>
        <v>640</v>
      </c>
    </row>
    <row r="98" spans="1:9" ht="51">
      <c r="A98" s="1" t="s">
        <v>1236</v>
      </c>
      <c r="B98" s="1" t="s">
        <v>1672</v>
      </c>
      <c r="C98" s="1" t="s">
        <v>1239</v>
      </c>
      <c r="D98" s="1" t="s">
        <v>1679</v>
      </c>
      <c r="E98" s="1" t="s">
        <v>13</v>
      </c>
      <c r="F98" s="2" t="s">
        <v>8</v>
      </c>
      <c r="G98" s="48">
        <v>1300</v>
      </c>
      <c r="H98" s="48">
        <f t="shared" si="1"/>
        <v>1300</v>
      </c>
    </row>
    <row r="99" spans="1:9" ht="51">
      <c r="A99" s="1" t="s">
        <v>9</v>
      </c>
      <c r="B99" s="1" t="s">
        <v>774</v>
      </c>
      <c r="C99" s="1" t="s">
        <v>1680</v>
      </c>
      <c r="D99" s="1" t="s">
        <v>1681</v>
      </c>
      <c r="E99" s="1" t="s">
        <v>13</v>
      </c>
      <c r="F99" s="2" t="s">
        <v>14</v>
      </c>
      <c r="G99" s="48">
        <v>0</v>
      </c>
      <c r="H99" s="48">
        <f t="shared" si="1"/>
        <v>0</v>
      </c>
    </row>
    <row r="100" spans="1:9" ht="25.5">
      <c r="A100" s="1" t="s">
        <v>15</v>
      </c>
      <c r="B100" s="1" t="s">
        <v>774</v>
      </c>
      <c r="C100" s="1" t="s">
        <v>1682</v>
      </c>
      <c r="D100" s="1" t="s">
        <v>777</v>
      </c>
      <c r="E100" s="1" t="s">
        <v>608</v>
      </c>
      <c r="F100" s="2" t="s">
        <v>120</v>
      </c>
      <c r="G100" s="48">
        <v>10</v>
      </c>
      <c r="H100" s="48">
        <f t="shared" si="1"/>
        <v>400</v>
      </c>
    </row>
    <row r="101" spans="1:9" ht="25.5">
      <c r="A101" s="1" t="s">
        <v>19</v>
      </c>
      <c r="B101" s="1" t="s">
        <v>774</v>
      </c>
      <c r="C101" s="1" t="s">
        <v>1682</v>
      </c>
      <c r="D101" s="1" t="s">
        <v>779</v>
      </c>
      <c r="E101" s="1" t="s">
        <v>608</v>
      </c>
      <c r="F101" s="2" t="s">
        <v>29</v>
      </c>
      <c r="G101" s="48">
        <v>8</v>
      </c>
      <c r="H101" s="48">
        <f t="shared" si="1"/>
        <v>48</v>
      </c>
      <c r="I101" s="70">
        <f>SUM(H52:H101)</f>
        <v>29616</v>
      </c>
    </row>
    <row r="102" spans="1:9" ht="25.5">
      <c r="A102" s="1" t="s">
        <v>23</v>
      </c>
      <c r="B102" s="1" t="s">
        <v>774</v>
      </c>
      <c r="C102" s="1" t="s">
        <v>1682</v>
      </c>
      <c r="D102" s="1" t="s">
        <v>781</v>
      </c>
      <c r="E102" s="1" t="s">
        <v>608</v>
      </c>
      <c r="F102" s="2" t="s">
        <v>1561</v>
      </c>
      <c r="G102" s="48">
        <v>8</v>
      </c>
      <c r="H102" s="48">
        <f t="shared" si="1"/>
        <v>56</v>
      </c>
    </row>
    <row r="103" spans="1:9" ht="25.5">
      <c r="A103" s="1" t="s">
        <v>25</v>
      </c>
      <c r="B103" s="1" t="s">
        <v>774</v>
      </c>
      <c r="C103" s="1" t="s">
        <v>1682</v>
      </c>
      <c r="D103" s="1" t="s">
        <v>782</v>
      </c>
      <c r="E103" s="1" t="s">
        <v>608</v>
      </c>
      <c r="F103" s="2" t="s">
        <v>1562</v>
      </c>
      <c r="G103" s="48">
        <v>8</v>
      </c>
      <c r="H103" s="48">
        <f t="shared" si="1"/>
        <v>64</v>
      </c>
    </row>
    <row r="104" spans="1:9" ht="25.5">
      <c r="A104" s="1" t="s">
        <v>30</v>
      </c>
      <c r="B104" s="1" t="s">
        <v>774</v>
      </c>
      <c r="C104" s="1" t="s">
        <v>1682</v>
      </c>
      <c r="D104" s="1" t="s">
        <v>784</v>
      </c>
      <c r="E104" s="1" t="s">
        <v>608</v>
      </c>
      <c r="F104" s="2" t="s">
        <v>1562</v>
      </c>
      <c r="G104" s="48">
        <v>8</v>
      </c>
      <c r="H104" s="48">
        <f t="shared" si="1"/>
        <v>64</v>
      </c>
    </row>
    <row r="105" spans="1:9" ht="25.5">
      <c r="A105" s="1" t="s">
        <v>32</v>
      </c>
      <c r="B105" s="1" t="s">
        <v>774</v>
      </c>
      <c r="C105" s="1" t="s">
        <v>785</v>
      </c>
      <c r="D105" s="1" t="s">
        <v>786</v>
      </c>
      <c r="E105" s="1" t="s">
        <v>585</v>
      </c>
      <c r="F105" s="2" t="s">
        <v>1553</v>
      </c>
      <c r="G105" s="48">
        <v>8</v>
      </c>
      <c r="H105" s="48">
        <f t="shared" si="1"/>
        <v>16</v>
      </c>
    </row>
    <row r="106" spans="1:9" ht="25.5">
      <c r="A106" s="1" t="s">
        <v>34</v>
      </c>
      <c r="B106" s="1" t="s">
        <v>774</v>
      </c>
      <c r="C106" s="1" t="s">
        <v>787</v>
      </c>
      <c r="D106" s="1" t="s">
        <v>788</v>
      </c>
      <c r="E106" s="1" t="s">
        <v>585</v>
      </c>
      <c r="F106" s="2" t="s">
        <v>18</v>
      </c>
      <c r="G106" s="48">
        <v>25</v>
      </c>
      <c r="H106" s="48">
        <f t="shared" si="1"/>
        <v>75</v>
      </c>
    </row>
    <row r="107" spans="1:9" ht="63.75">
      <c r="A107" s="1" t="s">
        <v>36</v>
      </c>
      <c r="B107" s="1" t="s">
        <v>774</v>
      </c>
      <c r="C107" s="1" t="s">
        <v>789</v>
      </c>
      <c r="D107" s="1" t="s">
        <v>790</v>
      </c>
      <c r="E107" s="1" t="s">
        <v>585</v>
      </c>
      <c r="F107" s="2" t="s">
        <v>1553</v>
      </c>
      <c r="G107" s="48">
        <v>30</v>
      </c>
      <c r="H107" s="48">
        <f t="shared" si="1"/>
        <v>60</v>
      </c>
    </row>
    <row r="108" spans="1:9" ht="63.75">
      <c r="A108" s="1" t="s">
        <v>39</v>
      </c>
      <c r="B108" s="1" t="s">
        <v>1683</v>
      </c>
      <c r="C108" s="1" t="s">
        <v>1683</v>
      </c>
      <c r="D108" s="1" t="s">
        <v>1684</v>
      </c>
      <c r="E108" s="1" t="s">
        <v>585</v>
      </c>
      <c r="F108" s="2" t="s">
        <v>8</v>
      </c>
      <c r="G108" s="48">
        <v>30</v>
      </c>
      <c r="H108" s="48">
        <f t="shared" si="1"/>
        <v>30</v>
      </c>
    </row>
    <row r="109" spans="1:9" ht="25.5">
      <c r="A109" s="1" t="s">
        <v>41</v>
      </c>
      <c r="B109" s="1" t="s">
        <v>774</v>
      </c>
      <c r="C109" s="1" t="s">
        <v>791</v>
      </c>
      <c r="D109" s="1" t="s">
        <v>1685</v>
      </c>
      <c r="E109" s="1" t="s">
        <v>585</v>
      </c>
      <c r="F109" s="2" t="s">
        <v>1561</v>
      </c>
      <c r="G109" s="48">
        <v>180</v>
      </c>
      <c r="H109" s="48">
        <f t="shared" si="1"/>
        <v>1260</v>
      </c>
    </row>
    <row r="110" spans="1:9" ht="25.5">
      <c r="A110" s="1" t="s">
        <v>43</v>
      </c>
      <c r="B110" s="1" t="s">
        <v>774</v>
      </c>
      <c r="C110" s="1" t="s">
        <v>794</v>
      </c>
      <c r="D110" s="1" t="s">
        <v>795</v>
      </c>
      <c r="E110" s="1" t="s">
        <v>585</v>
      </c>
      <c r="F110" s="2" t="s">
        <v>1561</v>
      </c>
      <c r="G110" s="48">
        <v>110</v>
      </c>
      <c r="H110" s="48">
        <f t="shared" si="1"/>
        <v>770</v>
      </c>
    </row>
    <row r="111" spans="1:9" ht="255">
      <c r="A111" s="1" t="s">
        <v>45</v>
      </c>
      <c r="B111" s="1" t="s">
        <v>774</v>
      </c>
      <c r="C111" s="1" t="s">
        <v>796</v>
      </c>
      <c r="D111" s="1" t="s">
        <v>797</v>
      </c>
      <c r="E111" s="1" t="s">
        <v>585</v>
      </c>
      <c r="F111" s="2" t="s">
        <v>8</v>
      </c>
      <c r="G111" s="48">
        <v>5000</v>
      </c>
      <c r="H111" s="48">
        <f t="shared" si="1"/>
        <v>5000</v>
      </c>
    </row>
    <row r="112" spans="1:9" ht="51">
      <c r="A112" s="1" t="s">
        <v>47</v>
      </c>
      <c r="B112" s="1" t="s">
        <v>798</v>
      </c>
      <c r="C112" s="1" t="s">
        <v>799</v>
      </c>
      <c r="D112" s="1" t="s">
        <v>800</v>
      </c>
      <c r="E112" s="1" t="s">
        <v>585</v>
      </c>
      <c r="F112" s="2" t="s">
        <v>1553</v>
      </c>
      <c r="G112" s="48">
        <v>85</v>
      </c>
      <c r="H112" s="48">
        <f t="shared" si="1"/>
        <v>170</v>
      </c>
    </row>
    <row r="113" spans="1:8" ht="63.75">
      <c r="A113" s="1" t="s">
        <v>51</v>
      </c>
      <c r="B113" s="1" t="s">
        <v>798</v>
      </c>
      <c r="C113" s="1" t="s">
        <v>803</v>
      </c>
      <c r="D113" s="1" t="s">
        <v>804</v>
      </c>
      <c r="E113" s="1" t="s">
        <v>585</v>
      </c>
      <c r="F113" s="2" t="s">
        <v>8</v>
      </c>
      <c r="G113" s="48">
        <v>120</v>
      </c>
      <c r="H113" s="48">
        <f t="shared" si="1"/>
        <v>120</v>
      </c>
    </row>
    <row r="114" spans="1:8" ht="76.5">
      <c r="A114" s="1" t="s">
        <v>55</v>
      </c>
      <c r="B114" s="1" t="s">
        <v>798</v>
      </c>
      <c r="C114" s="1" t="s">
        <v>805</v>
      </c>
      <c r="D114" s="1" t="s">
        <v>806</v>
      </c>
      <c r="E114" s="1" t="s">
        <v>585</v>
      </c>
      <c r="F114" s="2" t="s">
        <v>1553</v>
      </c>
      <c r="G114" s="48">
        <v>100</v>
      </c>
      <c r="H114" s="48">
        <f t="shared" si="1"/>
        <v>200</v>
      </c>
    </row>
    <row r="115" spans="1:8" ht="38.25">
      <c r="A115" s="1" t="s">
        <v>57</v>
      </c>
      <c r="B115" s="1" t="s">
        <v>798</v>
      </c>
      <c r="C115" s="1" t="s">
        <v>807</v>
      </c>
      <c r="D115" s="1" t="s">
        <v>808</v>
      </c>
      <c r="E115" s="1" t="s">
        <v>585</v>
      </c>
      <c r="F115" s="2" t="s">
        <v>1553</v>
      </c>
      <c r="G115" s="48">
        <v>25</v>
      </c>
      <c r="H115" s="48">
        <f t="shared" si="1"/>
        <v>50</v>
      </c>
    </row>
    <row r="116" spans="1:8" ht="38.25">
      <c r="A116" s="1" t="s">
        <v>60</v>
      </c>
      <c r="B116" s="1" t="s">
        <v>798</v>
      </c>
      <c r="C116" s="1" t="s">
        <v>809</v>
      </c>
      <c r="D116" s="1" t="s">
        <v>810</v>
      </c>
      <c r="E116" s="1" t="s">
        <v>585</v>
      </c>
      <c r="F116" s="2" t="s">
        <v>1553</v>
      </c>
      <c r="G116" s="48">
        <v>40</v>
      </c>
      <c r="H116" s="48">
        <f t="shared" si="1"/>
        <v>80</v>
      </c>
    </row>
    <row r="117" spans="1:8" ht="38.25">
      <c r="A117" s="1" t="s">
        <v>64</v>
      </c>
      <c r="B117" s="1" t="s">
        <v>798</v>
      </c>
      <c r="C117" s="1" t="s">
        <v>812</v>
      </c>
      <c r="D117" s="1" t="s">
        <v>813</v>
      </c>
      <c r="E117" s="1" t="s">
        <v>585</v>
      </c>
      <c r="F117" s="2" t="s">
        <v>8</v>
      </c>
      <c r="G117" s="48">
        <v>40</v>
      </c>
      <c r="H117" s="48">
        <f t="shared" si="1"/>
        <v>40</v>
      </c>
    </row>
    <row r="118" spans="1:8" ht="38.25">
      <c r="A118" s="1" t="s">
        <v>68</v>
      </c>
      <c r="B118" s="1" t="s">
        <v>798</v>
      </c>
      <c r="C118" s="1" t="s">
        <v>814</v>
      </c>
      <c r="D118" s="1" t="s">
        <v>815</v>
      </c>
      <c r="E118" s="1" t="s">
        <v>585</v>
      </c>
      <c r="F118" s="2" t="s">
        <v>1553</v>
      </c>
      <c r="G118" s="48">
        <v>15</v>
      </c>
      <c r="H118" s="48">
        <f t="shared" si="1"/>
        <v>30</v>
      </c>
    </row>
    <row r="119" spans="1:8" ht="38.25">
      <c r="A119" s="1" t="s">
        <v>71</v>
      </c>
      <c r="B119" s="1" t="s">
        <v>798</v>
      </c>
      <c r="C119" s="1" t="s">
        <v>816</v>
      </c>
      <c r="D119" s="1" t="s">
        <v>817</v>
      </c>
      <c r="E119" s="1" t="s">
        <v>585</v>
      </c>
      <c r="F119" s="2" t="s">
        <v>1553</v>
      </c>
      <c r="G119" s="48">
        <v>15</v>
      </c>
      <c r="H119" s="48">
        <f t="shared" si="1"/>
        <v>30</v>
      </c>
    </row>
    <row r="120" spans="1:8" ht="38.25">
      <c r="A120" s="1" t="s">
        <v>73</v>
      </c>
      <c r="B120" s="1" t="s">
        <v>798</v>
      </c>
      <c r="C120" s="1" t="s">
        <v>819</v>
      </c>
      <c r="D120" s="1" t="s">
        <v>820</v>
      </c>
      <c r="E120" s="1" t="s">
        <v>585</v>
      </c>
      <c r="F120" s="2" t="s">
        <v>1553</v>
      </c>
      <c r="G120" s="48">
        <v>15</v>
      </c>
      <c r="H120" s="48">
        <f t="shared" si="1"/>
        <v>30</v>
      </c>
    </row>
    <row r="121" spans="1:8" ht="38.25">
      <c r="A121" s="1" t="s">
        <v>76</v>
      </c>
      <c r="B121" s="1" t="s">
        <v>798</v>
      </c>
      <c r="C121" s="1" t="s">
        <v>822</v>
      </c>
      <c r="D121" s="1" t="s">
        <v>823</v>
      </c>
      <c r="E121" s="1" t="s">
        <v>585</v>
      </c>
      <c r="F121" s="2" t="s">
        <v>1553</v>
      </c>
      <c r="G121" s="48">
        <v>40</v>
      </c>
      <c r="H121" s="48">
        <f t="shared" si="1"/>
        <v>80</v>
      </c>
    </row>
    <row r="122" spans="1:8" ht="38.25">
      <c r="A122" s="1" t="s">
        <v>79</v>
      </c>
      <c r="B122" s="1" t="s">
        <v>798</v>
      </c>
      <c r="C122" s="1" t="s">
        <v>824</v>
      </c>
      <c r="D122" s="1" t="s">
        <v>825</v>
      </c>
      <c r="E122" s="1" t="s">
        <v>585</v>
      </c>
      <c r="F122" s="2" t="s">
        <v>1553</v>
      </c>
      <c r="G122" s="48">
        <v>15</v>
      </c>
      <c r="H122" s="48">
        <f t="shared" si="1"/>
        <v>30</v>
      </c>
    </row>
    <row r="123" spans="1:8" ht="38.25">
      <c r="A123" s="1" t="s">
        <v>82</v>
      </c>
      <c r="B123" s="1" t="s">
        <v>774</v>
      </c>
      <c r="C123" s="1" t="s">
        <v>925</v>
      </c>
      <c r="D123" s="1" t="s">
        <v>828</v>
      </c>
      <c r="E123" s="1" t="s">
        <v>13</v>
      </c>
      <c r="F123" s="2" t="s">
        <v>14</v>
      </c>
      <c r="G123" s="48">
        <v>0</v>
      </c>
      <c r="H123" s="48">
        <f t="shared" si="1"/>
        <v>0</v>
      </c>
    </row>
    <row r="124" spans="1:8" ht="25.5">
      <c r="A124" s="1" t="s">
        <v>85</v>
      </c>
      <c r="B124" s="1" t="s">
        <v>774</v>
      </c>
      <c r="C124" s="1" t="s">
        <v>829</v>
      </c>
      <c r="D124" s="1" t="s">
        <v>830</v>
      </c>
      <c r="E124" s="1" t="s">
        <v>608</v>
      </c>
      <c r="F124" s="2" t="s">
        <v>1596</v>
      </c>
      <c r="G124" s="48">
        <v>12</v>
      </c>
      <c r="H124" s="48">
        <f t="shared" si="1"/>
        <v>288</v>
      </c>
    </row>
    <row r="125" spans="1:8" ht="153">
      <c r="A125" s="1" t="s">
        <v>87</v>
      </c>
      <c r="B125" s="1" t="s">
        <v>832</v>
      </c>
      <c r="C125" s="1" t="s">
        <v>1686</v>
      </c>
      <c r="D125" s="1" t="s">
        <v>834</v>
      </c>
      <c r="E125" s="1" t="s">
        <v>13</v>
      </c>
      <c r="F125" s="2" t="s">
        <v>14</v>
      </c>
      <c r="G125" s="48">
        <v>0</v>
      </c>
      <c r="H125" s="48">
        <f t="shared" si="1"/>
        <v>0</v>
      </c>
    </row>
    <row r="126" spans="1:8" ht="25.5">
      <c r="A126" s="1" t="s">
        <v>90</v>
      </c>
      <c r="B126" s="1" t="s">
        <v>832</v>
      </c>
      <c r="C126" s="1" t="s">
        <v>835</v>
      </c>
      <c r="D126" s="1" t="s">
        <v>836</v>
      </c>
      <c r="E126" s="1" t="s">
        <v>608</v>
      </c>
      <c r="F126" s="2" t="s">
        <v>1600</v>
      </c>
      <c r="G126" s="48">
        <v>10</v>
      </c>
      <c r="H126" s="48">
        <f t="shared" si="1"/>
        <v>280</v>
      </c>
    </row>
    <row r="127" spans="1:8" ht="25.5">
      <c r="A127" s="1" t="s">
        <v>92</v>
      </c>
      <c r="B127" s="1" t="s">
        <v>832</v>
      </c>
      <c r="C127" s="1" t="s">
        <v>835</v>
      </c>
      <c r="D127" s="1" t="s">
        <v>837</v>
      </c>
      <c r="E127" s="1" t="s">
        <v>608</v>
      </c>
      <c r="F127" s="2" t="s">
        <v>38</v>
      </c>
      <c r="G127" s="48">
        <v>15</v>
      </c>
      <c r="H127" s="48">
        <f t="shared" si="1"/>
        <v>150</v>
      </c>
    </row>
    <row r="128" spans="1:8" ht="25.5">
      <c r="A128" s="1" t="s">
        <v>95</v>
      </c>
      <c r="B128" s="1" t="s">
        <v>832</v>
      </c>
      <c r="C128" s="1" t="s">
        <v>835</v>
      </c>
      <c r="D128" s="1" t="s">
        <v>839</v>
      </c>
      <c r="E128" s="1" t="s">
        <v>608</v>
      </c>
      <c r="F128" s="2" t="s">
        <v>1557</v>
      </c>
      <c r="G128" s="48">
        <v>20</v>
      </c>
      <c r="H128" s="48">
        <f t="shared" si="1"/>
        <v>80</v>
      </c>
    </row>
    <row r="129" spans="1:8" ht="25.5">
      <c r="A129" s="1" t="s">
        <v>98</v>
      </c>
      <c r="B129" s="1" t="s">
        <v>832</v>
      </c>
      <c r="C129" s="1" t="s">
        <v>835</v>
      </c>
      <c r="D129" s="1" t="s">
        <v>840</v>
      </c>
      <c r="E129" s="1" t="s">
        <v>608</v>
      </c>
      <c r="F129" s="2" t="s">
        <v>94</v>
      </c>
      <c r="G129" s="48">
        <v>25</v>
      </c>
      <c r="H129" s="48">
        <f t="shared" si="1"/>
        <v>750</v>
      </c>
    </row>
    <row r="130" spans="1:8" ht="25.5">
      <c r="A130" s="1" t="s">
        <v>100</v>
      </c>
      <c r="B130" s="1" t="s">
        <v>832</v>
      </c>
      <c r="C130" s="1" t="s">
        <v>835</v>
      </c>
      <c r="D130" s="1" t="s">
        <v>842</v>
      </c>
      <c r="E130" s="1" t="s">
        <v>608</v>
      </c>
      <c r="F130" s="2" t="s">
        <v>1604</v>
      </c>
      <c r="G130" s="48">
        <v>30</v>
      </c>
      <c r="H130" s="48">
        <f t="shared" si="1"/>
        <v>870</v>
      </c>
    </row>
    <row r="131" spans="1:8" ht="76.5">
      <c r="A131" s="1" t="s">
        <v>102</v>
      </c>
      <c r="B131" s="1" t="s">
        <v>832</v>
      </c>
      <c r="C131" s="1" t="s">
        <v>1687</v>
      </c>
      <c r="D131" s="1" t="s">
        <v>846</v>
      </c>
      <c r="E131" s="1" t="s">
        <v>13</v>
      </c>
      <c r="F131" s="2" t="s">
        <v>14</v>
      </c>
      <c r="G131" s="48">
        <v>0</v>
      </c>
      <c r="H131" s="48">
        <f t="shared" ref="H131:H194" si="2">F131*G131</f>
        <v>0</v>
      </c>
    </row>
    <row r="132" spans="1:8" ht="25.5">
      <c r="A132" s="1" t="s">
        <v>104</v>
      </c>
      <c r="B132" s="1" t="s">
        <v>832</v>
      </c>
      <c r="C132" s="1" t="s">
        <v>845</v>
      </c>
      <c r="D132" s="1" t="s">
        <v>836</v>
      </c>
      <c r="E132" s="1" t="s">
        <v>585</v>
      </c>
      <c r="F132" s="2" t="s">
        <v>38</v>
      </c>
      <c r="G132" s="48">
        <v>25</v>
      </c>
      <c r="H132" s="48">
        <f t="shared" si="2"/>
        <v>250</v>
      </c>
    </row>
    <row r="133" spans="1:8" ht="25.5">
      <c r="A133" s="1" t="s">
        <v>107</v>
      </c>
      <c r="B133" s="1" t="s">
        <v>832</v>
      </c>
      <c r="C133" s="1" t="s">
        <v>845</v>
      </c>
      <c r="D133" s="1" t="s">
        <v>837</v>
      </c>
      <c r="E133" s="1" t="s">
        <v>585</v>
      </c>
      <c r="F133" s="2" t="s">
        <v>1562</v>
      </c>
      <c r="G133" s="48">
        <v>25</v>
      </c>
      <c r="H133" s="48">
        <f t="shared" si="2"/>
        <v>200</v>
      </c>
    </row>
    <row r="134" spans="1:8" ht="25.5">
      <c r="A134" s="1" t="s">
        <v>110</v>
      </c>
      <c r="B134" s="1" t="s">
        <v>832</v>
      </c>
      <c r="C134" s="1" t="s">
        <v>845</v>
      </c>
      <c r="D134" s="1" t="s">
        <v>840</v>
      </c>
      <c r="E134" s="1" t="s">
        <v>585</v>
      </c>
      <c r="F134" s="2" t="s">
        <v>1557</v>
      </c>
      <c r="G134" s="48">
        <v>35</v>
      </c>
      <c r="H134" s="48">
        <f t="shared" si="2"/>
        <v>140</v>
      </c>
    </row>
    <row r="135" spans="1:8" ht="25.5">
      <c r="A135" s="1" t="s">
        <v>112</v>
      </c>
      <c r="B135" s="1" t="s">
        <v>832</v>
      </c>
      <c r="C135" s="1" t="s">
        <v>845</v>
      </c>
      <c r="D135" s="1" t="s">
        <v>848</v>
      </c>
      <c r="E135" s="1" t="s">
        <v>585</v>
      </c>
      <c r="F135" s="2" t="s">
        <v>1553</v>
      </c>
      <c r="G135" s="48">
        <v>35</v>
      </c>
      <c r="H135" s="48">
        <f t="shared" si="2"/>
        <v>70</v>
      </c>
    </row>
    <row r="136" spans="1:8" ht="25.5">
      <c r="A136" s="1" t="s">
        <v>115</v>
      </c>
      <c r="B136" s="1" t="s">
        <v>832</v>
      </c>
      <c r="C136" s="1" t="s">
        <v>845</v>
      </c>
      <c r="D136" s="1" t="s">
        <v>842</v>
      </c>
      <c r="E136" s="1" t="s">
        <v>585</v>
      </c>
      <c r="F136" s="2" t="s">
        <v>1553</v>
      </c>
      <c r="G136" s="48">
        <v>40</v>
      </c>
      <c r="H136" s="48">
        <f t="shared" si="2"/>
        <v>80</v>
      </c>
    </row>
    <row r="137" spans="1:8" ht="25.5">
      <c r="A137" s="1" t="s">
        <v>118</v>
      </c>
      <c r="B137" s="1" t="s">
        <v>832</v>
      </c>
      <c r="C137" s="1" t="s">
        <v>849</v>
      </c>
      <c r="D137" s="1" t="s">
        <v>850</v>
      </c>
      <c r="E137" s="1" t="s">
        <v>13</v>
      </c>
      <c r="F137" s="2" t="s">
        <v>14</v>
      </c>
      <c r="G137" s="48">
        <v>0</v>
      </c>
      <c r="H137" s="48">
        <f t="shared" si="2"/>
        <v>0</v>
      </c>
    </row>
    <row r="138" spans="1:8" ht="38.25">
      <c r="A138" s="1" t="s">
        <v>121</v>
      </c>
      <c r="B138" s="1" t="s">
        <v>832</v>
      </c>
      <c r="C138" s="1" t="s">
        <v>851</v>
      </c>
      <c r="D138" s="1" t="s">
        <v>852</v>
      </c>
      <c r="E138" s="1" t="s">
        <v>585</v>
      </c>
      <c r="F138" s="2" t="s">
        <v>8</v>
      </c>
      <c r="G138" s="48">
        <v>2500</v>
      </c>
      <c r="H138" s="48">
        <f t="shared" si="2"/>
        <v>2500</v>
      </c>
    </row>
    <row r="139" spans="1:8" ht="38.25">
      <c r="A139" s="1" t="s">
        <v>123</v>
      </c>
      <c r="B139" s="1" t="s">
        <v>832</v>
      </c>
      <c r="C139" s="1" t="s">
        <v>853</v>
      </c>
      <c r="D139" s="1" t="s">
        <v>854</v>
      </c>
      <c r="E139" s="1" t="s">
        <v>585</v>
      </c>
      <c r="F139" s="2" t="s">
        <v>1553</v>
      </c>
      <c r="G139" s="48">
        <v>150</v>
      </c>
      <c r="H139" s="48">
        <f t="shared" si="2"/>
        <v>300</v>
      </c>
    </row>
    <row r="140" spans="1:8" ht="114.75">
      <c r="A140" s="1" t="s">
        <v>125</v>
      </c>
      <c r="B140" s="1" t="s">
        <v>832</v>
      </c>
      <c r="C140" s="1" t="s">
        <v>855</v>
      </c>
      <c r="D140" s="1" t="s">
        <v>856</v>
      </c>
      <c r="E140" s="1" t="s">
        <v>585</v>
      </c>
      <c r="F140" s="2" t="s">
        <v>8</v>
      </c>
      <c r="G140" s="48">
        <v>1500</v>
      </c>
      <c r="H140" s="48">
        <f t="shared" si="2"/>
        <v>1500</v>
      </c>
    </row>
    <row r="141" spans="1:8" ht="38.25">
      <c r="A141" s="1" t="s">
        <v>128</v>
      </c>
      <c r="B141" s="1" t="s">
        <v>1350</v>
      </c>
      <c r="C141" s="1" t="s">
        <v>1688</v>
      </c>
      <c r="D141" s="1" t="s">
        <v>859</v>
      </c>
      <c r="E141" s="1" t="s">
        <v>13</v>
      </c>
      <c r="F141" s="2" t="s">
        <v>14</v>
      </c>
      <c r="G141" s="48">
        <v>0</v>
      </c>
      <c r="H141" s="48">
        <f t="shared" si="2"/>
        <v>0</v>
      </c>
    </row>
    <row r="142" spans="1:8" ht="25.5">
      <c r="A142" s="1" t="s">
        <v>131</v>
      </c>
      <c r="B142" s="1" t="s">
        <v>1350</v>
      </c>
      <c r="C142" s="1" t="s">
        <v>858</v>
      </c>
      <c r="D142" s="1" t="s">
        <v>779</v>
      </c>
      <c r="E142" s="1" t="s">
        <v>608</v>
      </c>
      <c r="F142" s="2" t="s">
        <v>1596</v>
      </c>
      <c r="G142" s="48">
        <v>25</v>
      </c>
      <c r="H142" s="48">
        <f t="shared" si="2"/>
        <v>600</v>
      </c>
    </row>
    <row r="143" spans="1:8" ht="25.5">
      <c r="A143" s="1" t="s">
        <v>135</v>
      </c>
      <c r="B143" s="1" t="s">
        <v>1350</v>
      </c>
      <c r="C143" s="1" t="s">
        <v>861</v>
      </c>
      <c r="D143" s="1" t="s">
        <v>862</v>
      </c>
      <c r="E143" s="1" t="s">
        <v>585</v>
      </c>
      <c r="F143" s="2" t="s">
        <v>1557</v>
      </c>
      <c r="G143" s="48">
        <v>25</v>
      </c>
      <c r="H143" s="48">
        <f t="shared" si="2"/>
        <v>100</v>
      </c>
    </row>
    <row r="144" spans="1:8" ht="38.25">
      <c r="A144" s="1" t="s">
        <v>138</v>
      </c>
      <c r="B144" s="1" t="s">
        <v>863</v>
      </c>
      <c r="C144" s="1" t="s">
        <v>577</v>
      </c>
      <c r="D144" s="1" t="s">
        <v>1689</v>
      </c>
      <c r="E144" s="1" t="s">
        <v>13</v>
      </c>
      <c r="F144" s="2" t="s">
        <v>8</v>
      </c>
      <c r="G144" s="48">
        <v>0</v>
      </c>
      <c r="H144" s="48">
        <f t="shared" si="2"/>
        <v>0</v>
      </c>
    </row>
    <row r="145" spans="1:9" ht="63.75">
      <c r="A145" s="1" t="s">
        <v>141</v>
      </c>
      <c r="B145" s="1" t="s">
        <v>863</v>
      </c>
      <c r="C145" s="1" t="s">
        <v>577</v>
      </c>
      <c r="D145" s="1" t="s">
        <v>865</v>
      </c>
      <c r="E145" s="1" t="s">
        <v>13</v>
      </c>
      <c r="F145" s="2" t="s">
        <v>8</v>
      </c>
      <c r="G145" s="48">
        <v>0</v>
      </c>
      <c r="H145" s="48">
        <f t="shared" si="2"/>
        <v>0</v>
      </c>
    </row>
    <row r="146" spans="1:9" ht="38.25">
      <c r="A146" s="1" t="s">
        <v>144</v>
      </c>
      <c r="B146" s="1" t="s">
        <v>863</v>
      </c>
      <c r="C146" s="1" t="s">
        <v>577</v>
      </c>
      <c r="D146" s="1" t="s">
        <v>866</v>
      </c>
      <c r="E146" s="1" t="s">
        <v>13</v>
      </c>
      <c r="F146" s="2" t="s">
        <v>8</v>
      </c>
      <c r="G146" s="48">
        <v>0</v>
      </c>
      <c r="H146" s="48">
        <f t="shared" si="2"/>
        <v>0</v>
      </c>
    </row>
    <row r="147" spans="1:9" ht="38.25">
      <c r="A147" s="1" t="s">
        <v>147</v>
      </c>
      <c r="B147" s="1" t="s">
        <v>863</v>
      </c>
      <c r="C147" s="1" t="s">
        <v>577</v>
      </c>
      <c r="D147" s="1" t="s">
        <v>867</v>
      </c>
      <c r="E147" s="1" t="s">
        <v>13</v>
      </c>
      <c r="F147" s="2" t="s">
        <v>8</v>
      </c>
      <c r="G147" s="48">
        <v>0</v>
      </c>
      <c r="H147" s="48">
        <f t="shared" si="2"/>
        <v>0</v>
      </c>
    </row>
    <row r="148" spans="1:9" ht="38.25">
      <c r="A148" s="1" t="s">
        <v>151</v>
      </c>
      <c r="B148" s="1" t="s">
        <v>863</v>
      </c>
      <c r="C148" s="1" t="s">
        <v>577</v>
      </c>
      <c r="D148" s="1" t="s">
        <v>868</v>
      </c>
      <c r="E148" s="1" t="s">
        <v>13</v>
      </c>
      <c r="F148" s="2" t="s">
        <v>8</v>
      </c>
      <c r="G148" s="48">
        <v>0</v>
      </c>
      <c r="H148" s="48">
        <f t="shared" si="2"/>
        <v>0</v>
      </c>
    </row>
    <row r="149" spans="1:9" ht="38.25">
      <c r="A149" s="1" t="s">
        <v>155</v>
      </c>
      <c r="B149" s="1" t="s">
        <v>863</v>
      </c>
      <c r="C149" s="1" t="s">
        <v>577</v>
      </c>
      <c r="D149" s="1" t="s">
        <v>869</v>
      </c>
      <c r="E149" s="1" t="s">
        <v>13</v>
      </c>
      <c r="F149" s="2" t="s">
        <v>8</v>
      </c>
      <c r="G149" s="48">
        <v>500</v>
      </c>
      <c r="H149" s="48">
        <f t="shared" si="2"/>
        <v>500</v>
      </c>
    </row>
    <row r="150" spans="1:9" ht="38.25">
      <c r="A150" s="1" t="s">
        <v>157</v>
      </c>
      <c r="B150" s="1" t="s">
        <v>863</v>
      </c>
      <c r="C150" s="1" t="s">
        <v>577</v>
      </c>
      <c r="D150" s="1" t="s">
        <v>870</v>
      </c>
      <c r="E150" s="1" t="s">
        <v>13</v>
      </c>
      <c r="F150" s="2" t="s">
        <v>8</v>
      </c>
      <c r="G150" s="48">
        <v>0</v>
      </c>
      <c r="H150" s="48">
        <f t="shared" si="2"/>
        <v>0</v>
      </c>
    </row>
    <row r="151" spans="1:9" ht="38.25">
      <c r="A151" s="1" t="s">
        <v>159</v>
      </c>
      <c r="B151" s="1" t="s">
        <v>863</v>
      </c>
      <c r="C151" s="1" t="s">
        <v>577</v>
      </c>
      <c r="D151" s="1" t="s">
        <v>871</v>
      </c>
      <c r="E151" s="1" t="s">
        <v>13</v>
      </c>
      <c r="F151" s="2" t="s">
        <v>8</v>
      </c>
      <c r="G151" s="48">
        <v>0</v>
      </c>
      <c r="H151" s="48">
        <f t="shared" si="2"/>
        <v>0</v>
      </c>
      <c r="I151" s="70">
        <f>SUM(H102:H151)</f>
        <v>16913</v>
      </c>
    </row>
    <row r="152" spans="1:9" ht="38.25">
      <c r="A152" s="1" t="s">
        <v>161</v>
      </c>
      <c r="B152" s="1" t="s">
        <v>863</v>
      </c>
      <c r="C152" s="1" t="s">
        <v>577</v>
      </c>
      <c r="D152" s="1" t="s">
        <v>872</v>
      </c>
      <c r="E152" s="1" t="s">
        <v>13</v>
      </c>
      <c r="F152" s="2" t="s">
        <v>8</v>
      </c>
      <c r="G152" s="48">
        <v>0</v>
      </c>
      <c r="H152" s="48">
        <f t="shared" si="2"/>
        <v>0</v>
      </c>
    </row>
    <row r="153" spans="1:9" ht="38.25">
      <c r="A153" s="1" t="s">
        <v>164</v>
      </c>
      <c r="B153" s="1" t="s">
        <v>863</v>
      </c>
      <c r="C153" s="1" t="s">
        <v>577</v>
      </c>
      <c r="D153" s="1" t="s">
        <v>873</v>
      </c>
      <c r="E153" s="1" t="s">
        <v>13</v>
      </c>
      <c r="F153" s="2" t="s">
        <v>8</v>
      </c>
      <c r="G153" s="48">
        <v>0</v>
      </c>
      <c r="H153" s="48">
        <f t="shared" si="2"/>
        <v>0</v>
      </c>
    </row>
    <row r="154" spans="1:9" ht="38.25">
      <c r="A154" s="1" t="s">
        <v>167</v>
      </c>
      <c r="B154" s="1" t="s">
        <v>863</v>
      </c>
      <c r="C154" s="1" t="s">
        <v>577</v>
      </c>
      <c r="D154" s="1" t="s">
        <v>874</v>
      </c>
      <c r="E154" s="1" t="s">
        <v>13</v>
      </c>
      <c r="F154" s="2" t="s">
        <v>8</v>
      </c>
      <c r="G154" s="48">
        <v>0</v>
      </c>
      <c r="H154" s="48">
        <f t="shared" si="2"/>
        <v>0</v>
      </c>
    </row>
    <row r="155" spans="1:9" ht="76.5">
      <c r="A155" s="1" t="s">
        <v>875</v>
      </c>
      <c r="B155" s="1" t="s">
        <v>876</v>
      </c>
      <c r="C155" s="1" t="s">
        <v>925</v>
      </c>
      <c r="D155" s="1" t="s">
        <v>877</v>
      </c>
      <c r="E155" s="1" t="s">
        <v>13</v>
      </c>
      <c r="F155" s="2" t="s">
        <v>14</v>
      </c>
      <c r="G155" s="48">
        <v>0</v>
      </c>
      <c r="H155" s="48">
        <f t="shared" si="2"/>
        <v>0</v>
      </c>
    </row>
    <row r="156" spans="1:9" ht="25.5">
      <c r="A156" s="1" t="s">
        <v>878</v>
      </c>
      <c r="B156" s="1" t="s">
        <v>876</v>
      </c>
      <c r="C156" s="1" t="s">
        <v>891</v>
      </c>
      <c r="D156" s="1" t="s">
        <v>892</v>
      </c>
      <c r="E156" s="1" t="s">
        <v>585</v>
      </c>
      <c r="F156" s="2" t="s">
        <v>8</v>
      </c>
      <c r="G156" s="48">
        <v>10</v>
      </c>
      <c r="H156" s="48">
        <f t="shared" si="2"/>
        <v>10</v>
      </c>
    </row>
    <row r="157" spans="1:9" ht="25.5">
      <c r="A157" s="1" t="s">
        <v>881</v>
      </c>
      <c r="B157" s="1" t="s">
        <v>876</v>
      </c>
      <c r="C157" s="1" t="s">
        <v>891</v>
      </c>
      <c r="D157" s="1" t="s">
        <v>894</v>
      </c>
      <c r="E157" s="1" t="s">
        <v>585</v>
      </c>
      <c r="F157" s="2" t="s">
        <v>8</v>
      </c>
      <c r="G157" s="48">
        <v>15</v>
      </c>
      <c r="H157" s="48">
        <f t="shared" si="2"/>
        <v>15</v>
      </c>
    </row>
    <row r="158" spans="1:9" ht="25.5">
      <c r="A158" s="1" t="s">
        <v>884</v>
      </c>
      <c r="B158" s="1" t="s">
        <v>876</v>
      </c>
      <c r="C158" s="1" t="s">
        <v>896</v>
      </c>
      <c r="D158" s="1" t="s">
        <v>897</v>
      </c>
      <c r="E158" s="1" t="s">
        <v>585</v>
      </c>
      <c r="F158" s="2" t="s">
        <v>8</v>
      </c>
      <c r="G158" s="48">
        <v>15</v>
      </c>
      <c r="H158" s="48">
        <f t="shared" si="2"/>
        <v>15</v>
      </c>
    </row>
    <row r="159" spans="1:9" ht="38.25">
      <c r="A159" s="1" t="s">
        <v>898</v>
      </c>
      <c r="B159" s="1" t="s">
        <v>899</v>
      </c>
      <c r="C159" s="1" t="s">
        <v>900</v>
      </c>
      <c r="D159" s="1" t="s">
        <v>901</v>
      </c>
      <c r="E159" s="1" t="s">
        <v>608</v>
      </c>
      <c r="F159" s="2" t="s">
        <v>38</v>
      </c>
      <c r="G159" s="48">
        <v>50</v>
      </c>
      <c r="H159" s="48">
        <f t="shared" si="2"/>
        <v>500</v>
      </c>
    </row>
    <row r="160" spans="1:9" ht="51">
      <c r="A160" s="1" t="s">
        <v>902</v>
      </c>
      <c r="B160" s="1" t="s">
        <v>903</v>
      </c>
      <c r="C160" s="1" t="s">
        <v>904</v>
      </c>
      <c r="D160" s="1" t="s">
        <v>1690</v>
      </c>
      <c r="E160" s="1" t="s">
        <v>585</v>
      </c>
      <c r="F160" s="2" t="s">
        <v>8</v>
      </c>
      <c r="G160" s="48">
        <v>450</v>
      </c>
      <c r="H160" s="48">
        <f t="shared" si="2"/>
        <v>450</v>
      </c>
    </row>
    <row r="161" spans="1:8" ht="51">
      <c r="A161" s="1" t="s">
        <v>516</v>
      </c>
      <c r="B161" s="1" t="s">
        <v>903</v>
      </c>
      <c r="C161" s="1" t="s">
        <v>904</v>
      </c>
      <c r="D161" s="1" t="s">
        <v>905</v>
      </c>
      <c r="E161" s="1" t="s">
        <v>585</v>
      </c>
      <c r="F161" s="2" t="s">
        <v>1557</v>
      </c>
      <c r="G161" s="48">
        <v>600</v>
      </c>
      <c r="H161" s="48">
        <f t="shared" si="2"/>
        <v>2400</v>
      </c>
    </row>
    <row r="162" spans="1:8" ht="76.5">
      <c r="A162" s="1" t="s">
        <v>499</v>
      </c>
      <c r="B162" s="1" t="s">
        <v>909</v>
      </c>
      <c r="C162" s="1" t="s">
        <v>577</v>
      </c>
      <c r="D162" s="1" t="s">
        <v>910</v>
      </c>
      <c r="E162" s="1" t="s">
        <v>13</v>
      </c>
      <c r="F162" s="2" t="s">
        <v>8</v>
      </c>
      <c r="G162" s="48">
        <v>0</v>
      </c>
      <c r="H162" s="48">
        <f t="shared" si="2"/>
        <v>0</v>
      </c>
    </row>
    <row r="163" spans="1:8" ht="25.5">
      <c r="A163" s="1" t="s">
        <v>908</v>
      </c>
      <c r="B163" s="1" t="s">
        <v>909</v>
      </c>
      <c r="C163" s="1" t="s">
        <v>577</v>
      </c>
      <c r="D163" s="1" t="s">
        <v>912</v>
      </c>
      <c r="E163" s="1" t="s">
        <v>13</v>
      </c>
      <c r="F163" s="2" t="s">
        <v>8</v>
      </c>
      <c r="G163" s="48">
        <v>0</v>
      </c>
      <c r="H163" s="48">
        <f t="shared" si="2"/>
        <v>0</v>
      </c>
    </row>
    <row r="164" spans="1:8" ht="38.25">
      <c r="A164" s="1" t="s">
        <v>911</v>
      </c>
      <c r="B164" s="1" t="s">
        <v>909</v>
      </c>
      <c r="C164" s="1" t="s">
        <v>577</v>
      </c>
      <c r="D164" s="1" t="s">
        <v>914</v>
      </c>
      <c r="E164" s="1" t="s">
        <v>13</v>
      </c>
      <c r="F164" s="2" t="s">
        <v>8</v>
      </c>
      <c r="G164" s="48">
        <v>0</v>
      </c>
      <c r="H164" s="48">
        <f t="shared" si="2"/>
        <v>0</v>
      </c>
    </row>
    <row r="165" spans="1:8" ht="25.5">
      <c r="A165" s="1" t="s">
        <v>913</v>
      </c>
      <c r="B165" s="1" t="s">
        <v>909</v>
      </c>
      <c r="C165" s="1" t="s">
        <v>577</v>
      </c>
      <c r="D165" s="1" t="s">
        <v>916</v>
      </c>
      <c r="E165" s="1" t="s">
        <v>13</v>
      </c>
      <c r="F165" s="2" t="s">
        <v>8</v>
      </c>
      <c r="G165" s="48">
        <v>0</v>
      </c>
      <c r="H165" s="48">
        <f t="shared" si="2"/>
        <v>0</v>
      </c>
    </row>
    <row r="166" spans="1:8" ht="25.5">
      <c r="A166" s="1" t="s">
        <v>915</v>
      </c>
      <c r="B166" s="1" t="s">
        <v>909</v>
      </c>
      <c r="C166" s="1" t="s">
        <v>577</v>
      </c>
      <c r="D166" s="1" t="s">
        <v>918</v>
      </c>
      <c r="E166" s="1" t="s">
        <v>13</v>
      </c>
      <c r="F166" s="2" t="s">
        <v>8</v>
      </c>
      <c r="G166" s="48">
        <v>0</v>
      </c>
      <c r="H166" s="48">
        <f t="shared" si="2"/>
        <v>0</v>
      </c>
    </row>
    <row r="167" spans="1:8" ht="25.5">
      <c r="A167" s="1" t="s">
        <v>917</v>
      </c>
      <c r="B167" s="1" t="s">
        <v>909</v>
      </c>
      <c r="C167" s="1" t="s">
        <v>577</v>
      </c>
      <c r="D167" s="1" t="s">
        <v>920</v>
      </c>
      <c r="E167" s="1" t="s">
        <v>13</v>
      </c>
      <c r="F167" s="2" t="s">
        <v>8</v>
      </c>
      <c r="G167" s="48">
        <v>0</v>
      </c>
      <c r="H167" s="48">
        <f t="shared" si="2"/>
        <v>0</v>
      </c>
    </row>
    <row r="168" spans="1:8" ht="25.5">
      <c r="A168" s="1" t="s">
        <v>919</v>
      </c>
      <c r="B168" s="1" t="s">
        <v>909</v>
      </c>
      <c r="C168" s="1" t="s">
        <v>577</v>
      </c>
      <c r="D168" s="1" t="s">
        <v>922</v>
      </c>
      <c r="E168" s="1" t="s">
        <v>13</v>
      </c>
      <c r="F168" s="2" t="s">
        <v>8</v>
      </c>
      <c r="G168" s="48">
        <v>0</v>
      </c>
      <c r="H168" s="48">
        <f t="shared" si="2"/>
        <v>0</v>
      </c>
    </row>
    <row r="169" spans="1:8" ht="114.75">
      <c r="A169" s="1" t="s">
        <v>923</v>
      </c>
      <c r="B169" s="1" t="s">
        <v>998</v>
      </c>
      <c r="C169" s="1" t="s">
        <v>999</v>
      </c>
      <c r="D169" s="1" t="s">
        <v>1691</v>
      </c>
      <c r="E169" s="1" t="s">
        <v>585</v>
      </c>
      <c r="F169" s="2" t="s">
        <v>8</v>
      </c>
      <c r="G169" s="48">
        <v>600</v>
      </c>
      <c r="H169" s="48">
        <f t="shared" si="2"/>
        <v>600</v>
      </c>
    </row>
    <row r="170" spans="1:8" ht="51">
      <c r="A170" s="1" t="s">
        <v>927</v>
      </c>
      <c r="B170" s="1" t="s">
        <v>1683</v>
      </c>
      <c r="C170" s="1" t="s">
        <v>925</v>
      </c>
      <c r="D170" s="1" t="s">
        <v>1002</v>
      </c>
      <c r="E170" s="1" t="s">
        <v>13</v>
      </c>
      <c r="F170" s="2" t="s">
        <v>14</v>
      </c>
      <c r="G170" s="48">
        <v>0</v>
      </c>
      <c r="H170" s="48">
        <f t="shared" si="2"/>
        <v>0</v>
      </c>
    </row>
    <row r="171" spans="1:8" ht="38.25">
      <c r="A171" s="1" t="s">
        <v>930</v>
      </c>
      <c r="B171" s="1" t="s">
        <v>924</v>
      </c>
      <c r="C171" s="1" t="s">
        <v>928</v>
      </c>
      <c r="D171" s="1" t="s">
        <v>1004</v>
      </c>
      <c r="E171" s="1" t="s">
        <v>13</v>
      </c>
      <c r="F171" s="2" t="s">
        <v>8</v>
      </c>
      <c r="G171" s="48">
        <v>0</v>
      </c>
      <c r="H171" s="48">
        <f t="shared" si="2"/>
        <v>0</v>
      </c>
    </row>
    <row r="172" spans="1:8" ht="63.75">
      <c r="A172" s="1" t="s">
        <v>933</v>
      </c>
      <c r="B172" s="1" t="s">
        <v>924</v>
      </c>
      <c r="C172" s="1" t="s">
        <v>1692</v>
      </c>
      <c r="D172" s="1" t="s">
        <v>1046</v>
      </c>
      <c r="E172" s="1" t="s">
        <v>13</v>
      </c>
      <c r="F172" s="2" t="s">
        <v>14</v>
      </c>
      <c r="G172" s="48">
        <v>0</v>
      </c>
      <c r="H172" s="48">
        <f t="shared" si="2"/>
        <v>0</v>
      </c>
    </row>
    <row r="173" spans="1:8" ht="38.25">
      <c r="A173" s="1" t="s">
        <v>936</v>
      </c>
      <c r="B173" s="1" t="s">
        <v>924</v>
      </c>
      <c r="C173" s="1" t="s">
        <v>1045</v>
      </c>
      <c r="D173" s="1" t="s">
        <v>1693</v>
      </c>
      <c r="E173" s="1" t="s">
        <v>585</v>
      </c>
      <c r="F173" s="2" t="s">
        <v>8</v>
      </c>
      <c r="G173" s="48">
        <v>50</v>
      </c>
      <c r="H173" s="48">
        <f t="shared" si="2"/>
        <v>50</v>
      </c>
    </row>
    <row r="174" spans="1:8" ht="38.25">
      <c r="A174" s="1" t="s">
        <v>939</v>
      </c>
      <c r="B174" s="1" t="s">
        <v>924</v>
      </c>
      <c r="C174" s="1" t="s">
        <v>1045</v>
      </c>
      <c r="D174" s="1" t="s">
        <v>1693</v>
      </c>
      <c r="E174" s="1" t="s">
        <v>585</v>
      </c>
      <c r="F174" s="2" t="s">
        <v>8</v>
      </c>
      <c r="G174" s="48">
        <v>50</v>
      </c>
      <c r="H174" s="48">
        <f t="shared" si="2"/>
        <v>50</v>
      </c>
    </row>
    <row r="175" spans="1:8" ht="38.25">
      <c r="A175" s="1" t="s">
        <v>942</v>
      </c>
      <c r="B175" s="1" t="s">
        <v>924</v>
      </c>
      <c r="C175" s="1" t="s">
        <v>1045</v>
      </c>
      <c r="D175" s="1" t="s">
        <v>1694</v>
      </c>
      <c r="E175" s="1" t="s">
        <v>585</v>
      </c>
      <c r="F175" s="2" t="s">
        <v>8</v>
      </c>
      <c r="G175" s="48">
        <v>45</v>
      </c>
      <c r="H175" s="48">
        <f t="shared" si="2"/>
        <v>45</v>
      </c>
    </row>
    <row r="176" spans="1:8" ht="51">
      <c r="A176" s="1" t="s">
        <v>945</v>
      </c>
      <c r="B176" s="1" t="s">
        <v>924</v>
      </c>
      <c r="C176" s="1" t="s">
        <v>1695</v>
      </c>
      <c r="D176" s="1" t="s">
        <v>1052</v>
      </c>
      <c r="E176" s="1" t="s">
        <v>13</v>
      </c>
      <c r="F176" s="2" t="s">
        <v>14</v>
      </c>
      <c r="G176" s="48">
        <v>0</v>
      </c>
      <c r="H176" s="48">
        <f t="shared" si="2"/>
        <v>0</v>
      </c>
    </row>
    <row r="177" spans="1:8" ht="38.25">
      <c r="A177" s="1" t="s">
        <v>948</v>
      </c>
      <c r="B177" s="1" t="s">
        <v>924</v>
      </c>
      <c r="C177" s="1" t="s">
        <v>928</v>
      </c>
      <c r="D177" s="1" t="s">
        <v>1696</v>
      </c>
      <c r="E177" s="1" t="s">
        <v>608</v>
      </c>
      <c r="F177" s="2" t="s">
        <v>81</v>
      </c>
      <c r="G177" s="48">
        <v>15</v>
      </c>
      <c r="H177" s="48">
        <f t="shared" si="2"/>
        <v>375</v>
      </c>
    </row>
    <row r="178" spans="1:8" ht="38.25">
      <c r="A178" s="1" t="s">
        <v>950</v>
      </c>
      <c r="B178" s="1" t="s">
        <v>924</v>
      </c>
      <c r="C178" s="1" t="s">
        <v>928</v>
      </c>
      <c r="D178" s="1" t="s">
        <v>1697</v>
      </c>
      <c r="E178" s="1" t="s">
        <v>608</v>
      </c>
      <c r="F178" s="2" t="s">
        <v>94</v>
      </c>
      <c r="G178" s="48">
        <v>15</v>
      </c>
      <c r="H178" s="48">
        <f t="shared" si="2"/>
        <v>450</v>
      </c>
    </row>
    <row r="179" spans="1:8" ht="38.25">
      <c r="A179" s="1" t="s">
        <v>952</v>
      </c>
      <c r="B179" s="1" t="s">
        <v>924</v>
      </c>
      <c r="C179" s="1" t="s">
        <v>928</v>
      </c>
      <c r="D179" s="1" t="s">
        <v>1698</v>
      </c>
      <c r="E179" s="1" t="s">
        <v>608</v>
      </c>
      <c r="F179" s="2" t="s">
        <v>106</v>
      </c>
      <c r="G179" s="48">
        <v>10</v>
      </c>
      <c r="H179" s="48">
        <f t="shared" si="2"/>
        <v>350</v>
      </c>
    </row>
    <row r="180" spans="1:8" ht="127.5">
      <c r="A180" s="1" t="s">
        <v>955</v>
      </c>
      <c r="B180" s="1" t="s">
        <v>924</v>
      </c>
      <c r="C180" s="1" t="s">
        <v>1058</v>
      </c>
      <c r="D180" s="1" t="s">
        <v>1059</v>
      </c>
      <c r="E180" s="1" t="s">
        <v>585</v>
      </c>
      <c r="F180" s="2" t="s">
        <v>8</v>
      </c>
      <c r="G180" s="48">
        <v>0</v>
      </c>
      <c r="H180" s="48">
        <f t="shared" si="2"/>
        <v>0</v>
      </c>
    </row>
    <row r="181" spans="1:8" ht="63.75">
      <c r="A181" s="1" t="s">
        <v>957</v>
      </c>
      <c r="B181" s="1" t="s">
        <v>924</v>
      </c>
      <c r="C181" s="1" t="s">
        <v>577</v>
      </c>
      <c r="D181" s="1" t="s">
        <v>1061</v>
      </c>
      <c r="E181" s="1" t="s">
        <v>13</v>
      </c>
      <c r="F181" s="2" t="s">
        <v>8</v>
      </c>
      <c r="G181" s="48">
        <v>0</v>
      </c>
      <c r="H181" s="48">
        <f t="shared" si="2"/>
        <v>0</v>
      </c>
    </row>
    <row r="182" spans="1:8" ht="38.25">
      <c r="A182" s="1" t="s">
        <v>961</v>
      </c>
      <c r="B182" s="1" t="s">
        <v>924</v>
      </c>
      <c r="C182" s="1" t="s">
        <v>577</v>
      </c>
      <c r="D182" s="1" t="s">
        <v>979</v>
      </c>
      <c r="E182" s="1" t="s">
        <v>13</v>
      </c>
      <c r="F182" s="2" t="s">
        <v>8</v>
      </c>
      <c r="G182" s="48">
        <v>0</v>
      </c>
      <c r="H182" s="48">
        <f t="shared" si="2"/>
        <v>0</v>
      </c>
    </row>
    <row r="183" spans="1:8" ht="38.25">
      <c r="A183" s="1" t="s">
        <v>963</v>
      </c>
      <c r="B183" s="1" t="s">
        <v>924</v>
      </c>
      <c r="C183" s="1" t="s">
        <v>577</v>
      </c>
      <c r="D183" s="1" t="s">
        <v>1064</v>
      </c>
      <c r="E183" s="1" t="s">
        <v>13</v>
      </c>
      <c r="F183" s="2" t="s">
        <v>8</v>
      </c>
      <c r="G183" s="48">
        <v>0</v>
      </c>
      <c r="H183" s="48">
        <f t="shared" si="2"/>
        <v>0</v>
      </c>
    </row>
    <row r="184" spans="1:8" ht="38.25">
      <c r="A184" s="1" t="s">
        <v>966</v>
      </c>
      <c r="B184" s="1" t="s">
        <v>924</v>
      </c>
      <c r="C184" s="1" t="s">
        <v>577</v>
      </c>
      <c r="D184" s="1" t="s">
        <v>983</v>
      </c>
      <c r="E184" s="1" t="s">
        <v>13</v>
      </c>
      <c r="F184" s="2" t="s">
        <v>8</v>
      </c>
      <c r="G184" s="48">
        <v>0</v>
      </c>
      <c r="H184" s="48">
        <f t="shared" si="2"/>
        <v>0</v>
      </c>
    </row>
    <row r="185" spans="1:8" ht="38.25">
      <c r="A185" s="1" t="s">
        <v>967</v>
      </c>
      <c r="B185" s="1" t="s">
        <v>924</v>
      </c>
      <c r="C185" s="1" t="s">
        <v>577</v>
      </c>
      <c r="D185" s="1" t="s">
        <v>1067</v>
      </c>
      <c r="E185" s="1" t="s">
        <v>13</v>
      </c>
      <c r="F185" s="2" t="s">
        <v>8</v>
      </c>
      <c r="G185" s="48">
        <v>0</v>
      </c>
      <c r="H185" s="48">
        <f t="shared" si="2"/>
        <v>0</v>
      </c>
    </row>
    <row r="186" spans="1:8" ht="89.25">
      <c r="A186" s="1" t="s">
        <v>970</v>
      </c>
      <c r="B186" s="1" t="s">
        <v>924</v>
      </c>
      <c r="C186" s="1" t="s">
        <v>1699</v>
      </c>
      <c r="D186" s="1" t="s">
        <v>1070</v>
      </c>
      <c r="E186" s="1" t="s">
        <v>13</v>
      </c>
      <c r="F186" s="2" t="s">
        <v>14</v>
      </c>
      <c r="G186" s="48">
        <v>0</v>
      </c>
      <c r="H186" s="48">
        <f t="shared" si="2"/>
        <v>0</v>
      </c>
    </row>
    <row r="187" spans="1:8" ht="38.25">
      <c r="A187" s="1" t="s">
        <v>973</v>
      </c>
      <c r="B187" s="1" t="s">
        <v>924</v>
      </c>
      <c r="C187" s="1" t="s">
        <v>1072</v>
      </c>
      <c r="D187" s="1" t="s">
        <v>1076</v>
      </c>
      <c r="E187" s="1" t="s">
        <v>585</v>
      </c>
      <c r="F187" s="2" t="s">
        <v>1592</v>
      </c>
      <c r="G187" s="48">
        <v>6</v>
      </c>
      <c r="H187" s="48">
        <f t="shared" si="2"/>
        <v>126</v>
      </c>
    </row>
    <row r="188" spans="1:8" ht="38.25">
      <c r="A188" s="1" t="s">
        <v>976</v>
      </c>
      <c r="B188" s="1" t="s">
        <v>924</v>
      </c>
      <c r="C188" s="1" t="s">
        <v>1072</v>
      </c>
      <c r="D188" s="1" t="s">
        <v>1082</v>
      </c>
      <c r="E188" s="1" t="s">
        <v>585</v>
      </c>
      <c r="F188" s="2" t="s">
        <v>8</v>
      </c>
      <c r="G188" s="48">
        <v>6</v>
      </c>
      <c r="H188" s="48">
        <f t="shared" si="2"/>
        <v>6</v>
      </c>
    </row>
    <row r="189" spans="1:8" ht="38.25">
      <c r="A189" s="1" t="s">
        <v>978</v>
      </c>
      <c r="B189" s="1" t="s">
        <v>924</v>
      </c>
      <c r="C189" s="1" t="s">
        <v>1072</v>
      </c>
      <c r="D189" s="1" t="s">
        <v>1700</v>
      </c>
      <c r="E189" s="1" t="s">
        <v>585</v>
      </c>
      <c r="F189" s="2" t="s">
        <v>1559</v>
      </c>
      <c r="G189" s="48">
        <v>6</v>
      </c>
      <c r="H189" s="48">
        <f t="shared" si="2"/>
        <v>30</v>
      </c>
    </row>
    <row r="190" spans="1:8" ht="38.25">
      <c r="A190" s="1" t="s">
        <v>980</v>
      </c>
      <c r="B190" s="1" t="s">
        <v>924</v>
      </c>
      <c r="C190" s="1" t="s">
        <v>1072</v>
      </c>
      <c r="D190" s="1" t="s">
        <v>1086</v>
      </c>
      <c r="E190" s="1" t="s">
        <v>585</v>
      </c>
      <c r="F190" s="2" t="s">
        <v>1553</v>
      </c>
      <c r="G190" s="48">
        <v>6</v>
      </c>
      <c r="H190" s="48">
        <f t="shared" si="2"/>
        <v>12</v>
      </c>
    </row>
    <row r="191" spans="1:8" ht="38.25">
      <c r="A191" s="1" t="s">
        <v>982</v>
      </c>
      <c r="B191" s="1" t="s">
        <v>924</v>
      </c>
      <c r="C191" s="1" t="s">
        <v>1072</v>
      </c>
      <c r="D191" s="1" t="s">
        <v>1088</v>
      </c>
      <c r="E191" s="1" t="s">
        <v>585</v>
      </c>
      <c r="F191" s="2" t="s">
        <v>18</v>
      </c>
      <c r="G191" s="48">
        <v>6</v>
      </c>
      <c r="H191" s="48">
        <f t="shared" si="2"/>
        <v>18</v>
      </c>
    </row>
    <row r="192" spans="1:8" ht="38.25">
      <c r="A192" s="1" t="s">
        <v>984</v>
      </c>
      <c r="B192" s="1" t="s">
        <v>924</v>
      </c>
      <c r="C192" s="1" t="s">
        <v>1072</v>
      </c>
      <c r="D192" s="1" t="s">
        <v>1092</v>
      </c>
      <c r="E192" s="1" t="s">
        <v>585</v>
      </c>
      <c r="F192" s="2" t="s">
        <v>1561</v>
      </c>
      <c r="G192" s="48">
        <v>6</v>
      </c>
      <c r="H192" s="48">
        <f t="shared" si="2"/>
        <v>42</v>
      </c>
    </row>
    <row r="193" spans="1:9" ht="38.25">
      <c r="A193" s="1" t="s">
        <v>986</v>
      </c>
      <c r="B193" s="1" t="s">
        <v>924</v>
      </c>
      <c r="C193" s="1" t="s">
        <v>1072</v>
      </c>
      <c r="D193" s="1" t="s">
        <v>1096</v>
      </c>
      <c r="E193" s="1" t="s">
        <v>585</v>
      </c>
      <c r="F193" s="2" t="s">
        <v>8</v>
      </c>
      <c r="G193" s="48">
        <v>12</v>
      </c>
      <c r="H193" s="48">
        <f t="shared" si="2"/>
        <v>12</v>
      </c>
    </row>
    <row r="194" spans="1:9" ht="114.75">
      <c r="A194" s="1" t="s">
        <v>990</v>
      </c>
      <c r="B194" s="1" t="s">
        <v>924</v>
      </c>
      <c r="C194" s="1" t="s">
        <v>1701</v>
      </c>
      <c r="D194" s="1" t="s">
        <v>1099</v>
      </c>
      <c r="E194" s="1" t="s">
        <v>13</v>
      </c>
      <c r="F194" s="2" t="s">
        <v>14</v>
      </c>
      <c r="G194" s="48">
        <v>0</v>
      </c>
      <c r="H194" s="48">
        <f t="shared" si="2"/>
        <v>0</v>
      </c>
    </row>
    <row r="195" spans="1:9" ht="38.25">
      <c r="A195" s="1" t="s">
        <v>992</v>
      </c>
      <c r="B195" s="1" t="s">
        <v>924</v>
      </c>
      <c r="C195" s="1" t="s">
        <v>1098</v>
      </c>
      <c r="D195" s="1" t="s">
        <v>1101</v>
      </c>
      <c r="E195" s="1" t="s">
        <v>585</v>
      </c>
      <c r="F195" s="2" t="s">
        <v>18</v>
      </c>
      <c r="G195" s="48">
        <v>6</v>
      </c>
      <c r="H195" s="48">
        <f t="shared" ref="H195:H230" si="3">F195*G195</f>
        <v>18</v>
      </c>
    </row>
    <row r="196" spans="1:9" ht="38.25">
      <c r="A196" s="1" t="s">
        <v>995</v>
      </c>
      <c r="B196" s="1" t="s">
        <v>924</v>
      </c>
      <c r="C196" s="1" t="s">
        <v>1098</v>
      </c>
      <c r="D196" s="1" t="s">
        <v>1105</v>
      </c>
      <c r="E196" s="1" t="s">
        <v>585</v>
      </c>
      <c r="F196" s="2" t="s">
        <v>18</v>
      </c>
      <c r="G196" s="48">
        <v>6</v>
      </c>
      <c r="H196" s="48">
        <f t="shared" si="3"/>
        <v>18</v>
      </c>
    </row>
    <row r="197" spans="1:9" ht="38.25">
      <c r="A197" s="1" t="s">
        <v>997</v>
      </c>
      <c r="B197" s="1" t="s">
        <v>924</v>
      </c>
      <c r="C197" s="1" t="s">
        <v>1098</v>
      </c>
      <c r="D197" s="1" t="s">
        <v>1108</v>
      </c>
      <c r="E197" s="1" t="s">
        <v>585</v>
      </c>
      <c r="F197" s="2" t="s">
        <v>1570</v>
      </c>
      <c r="G197" s="48">
        <v>6</v>
      </c>
      <c r="H197" s="48">
        <f t="shared" si="3"/>
        <v>66</v>
      </c>
    </row>
    <row r="198" spans="1:9" ht="89.25">
      <c r="A198" s="1" t="s">
        <v>1001</v>
      </c>
      <c r="B198" s="1" t="s">
        <v>924</v>
      </c>
      <c r="C198" s="1" t="s">
        <v>1114</v>
      </c>
      <c r="D198" s="1" t="s">
        <v>1115</v>
      </c>
      <c r="E198" s="1" t="s">
        <v>13</v>
      </c>
      <c r="F198" s="2" t="s">
        <v>14</v>
      </c>
      <c r="G198" s="48">
        <v>0</v>
      </c>
      <c r="H198" s="48">
        <f t="shared" si="3"/>
        <v>0</v>
      </c>
    </row>
    <row r="199" spans="1:9" ht="38.25">
      <c r="A199" s="1" t="s">
        <v>1003</v>
      </c>
      <c r="B199" s="1" t="s">
        <v>924</v>
      </c>
      <c r="C199" s="1" t="s">
        <v>1098</v>
      </c>
      <c r="D199" s="1" t="s">
        <v>1702</v>
      </c>
      <c r="E199" s="1" t="s">
        <v>585</v>
      </c>
      <c r="F199" s="2" t="s">
        <v>38</v>
      </c>
      <c r="G199" s="48">
        <v>12</v>
      </c>
      <c r="H199" s="48">
        <f t="shared" si="3"/>
        <v>120</v>
      </c>
    </row>
    <row r="200" spans="1:9" ht="38.25">
      <c r="A200" s="1" t="s">
        <v>1005</v>
      </c>
      <c r="B200" s="1" t="s">
        <v>924</v>
      </c>
      <c r="C200" s="1" t="s">
        <v>1098</v>
      </c>
      <c r="D200" s="1" t="s">
        <v>1703</v>
      </c>
      <c r="E200" s="1" t="s">
        <v>585</v>
      </c>
      <c r="F200" s="2" t="s">
        <v>1553</v>
      </c>
      <c r="G200" s="48">
        <v>12</v>
      </c>
      <c r="H200" s="48">
        <f t="shared" si="3"/>
        <v>24</v>
      </c>
    </row>
    <row r="201" spans="1:9" ht="38.25">
      <c r="A201" s="1" t="s">
        <v>1007</v>
      </c>
      <c r="B201" s="1" t="s">
        <v>924</v>
      </c>
      <c r="C201" s="1" t="s">
        <v>1098</v>
      </c>
      <c r="D201" s="1" t="s">
        <v>1117</v>
      </c>
      <c r="E201" s="1" t="s">
        <v>585</v>
      </c>
      <c r="F201" s="2" t="s">
        <v>1561</v>
      </c>
      <c r="G201" s="48">
        <v>12</v>
      </c>
      <c r="H201" s="48">
        <f t="shared" si="3"/>
        <v>84</v>
      </c>
      <c r="I201" s="70">
        <f>SUM(H152:H201)</f>
        <v>5886</v>
      </c>
    </row>
    <row r="202" spans="1:9" ht="38.25">
      <c r="A202" s="1" t="s">
        <v>1009</v>
      </c>
      <c r="B202" s="1" t="s">
        <v>924</v>
      </c>
      <c r="C202" s="1" t="s">
        <v>1098</v>
      </c>
      <c r="D202" s="1" t="s">
        <v>1123</v>
      </c>
      <c r="E202" s="1" t="s">
        <v>585</v>
      </c>
      <c r="F202" s="2" t="s">
        <v>1553</v>
      </c>
      <c r="G202" s="48">
        <v>12</v>
      </c>
      <c r="H202" s="48">
        <f t="shared" si="3"/>
        <v>24</v>
      </c>
    </row>
    <row r="203" spans="1:9" ht="38.25">
      <c r="A203" s="1" t="s">
        <v>1011</v>
      </c>
      <c r="B203" s="1" t="s">
        <v>924</v>
      </c>
      <c r="C203" s="1" t="s">
        <v>1098</v>
      </c>
      <c r="D203" s="1" t="s">
        <v>1123</v>
      </c>
      <c r="E203" s="1" t="s">
        <v>585</v>
      </c>
      <c r="F203" s="2" t="s">
        <v>18</v>
      </c>
      <c r="G203" s="48">
        <v>12</v>
      </c>
      <c r="H203" s="48">
        <f t="shared" si="3"/>
        <v>36</v>
      </c>
    </row>
    <row r="204" spans="1:9" ht="38.25">
      <c r="A204" s="1" t="s">
        <v>1013</v>
      </c>
      <c r="B204" s="1" t="s">
        <v>924</v>
      </c>
      <c r="C204" s="1" t="s">
        <v>1098</v>
      </c>
      <c r="D204" s="1" t="s">
        <v>1704</v>
      </c>
      <c r="E204" s="1" t="s">
        <v>585</v>
      </c>
      <c r="F204" s="2" t="s">
        <v>1570</v>
      </c>
      <c r="G204" s="48">
        <v>12</v>
      </c>
      <c r="H204" s="48">
        <f t="shared" si="3"/>
        <v>132</v>
      </c>
    </row>
    <row r="205" spans="1:9" ht="38.25">
      <c r="A205" s="1" t="s">
        <v>1015</v>
      </c>
      <c r="B205" s="1" t="s">
        <v>924</v>
      </c>
      <c r="C205" s="1" t="s">
        <v>1098</v>
      </c>
      <c r="D205" s="1" t="s">
        <v>1127</v>
      </c>
      <c r="E205" s="1" t="s">
        <v>585</v>
      </c>
      <c r="F205" s="2" t="s">
        <v>1553</v>
      </c>
      <c r="G205" s="48">
        <v>12</v>
      </c>
      <c r="H205" s="48">
        <f t="shared" si="3"/>
        <v>24</v>
      </c>
    </row>
    <row r="206" spans="1:9" ht="38.25">
      <c r="A206" s="1" t="s">
        <v>1017</v>
      </c>
      <c r="B206" s="1" t="s">
        <v>924</v>
      </c>
      <c r="C206" s="1" t="s">
        <v>1098</v>
      </c>
      <c r="D206" s="1" t="s">
        <v>1129</v>
      </c>
      <c r="E206" s="1" t="s">
        <v>585</v>
      </c>
      <c r="F206" s="2" t="s">
        <v>1575</v>
      </c>
      <c r="G206" s="48">
        <v>12</v>
      </c>
      <c r="H206" s="48">
        <f t="shared" si="3"/>
        <v>156</v>
      </c>
    </row>
    <row r="207" spans="1:9" ht="38.25">
      <c r="A207" s="1" t="s">
        <v>1019</v>
      </c>
      <c r="B207" s="1" t="s">
        <v>924</v>
      </c>
      <c r="C207" s="1" t="s">
        <v>1098</v>
      </c>
      <c r="D207" s="1" t="s">
        <v>1133</v>
      </c>
      <c r="E207" s="1" t="s">
        <v>585</v>
      </c>
      <c r="F207" s="2" t="s">
        <v>1559</v>
      </c>
      <c r="G207" s="48">
        <v>15</v>
      </c>
      <c r="H207" s="48">
        <f t="shared" si="3"/>
        <v>75</v>
      </c>
    </row>
    <row r="208" spans="1:9" ht="38.25">
      <c r="A208" s="1" t="s">
        <v>1021</v>
      </c>
      <c r="B208" s="1" t="s">
        <v>924</v>
      </c>
      <c r="C208" s="1" t="s">
        <v>1098</v>
      </c>
      <c r="D208" s="1" t="s">
        <v>1137</v>
      </c>
      <c r="E208" s="1" t="s">
        <v>585</v>
      </c>
      <c r="F208" s="2" t="s">
        <v>18</v>
      </c>
      <c r="G208" s="48">
        <v>10</v>
      </c>
      <c r="H208" s="48">
        <f t="shared" si="3"/>
        <v>30</v>
      </c>
    </row>
    <row r="209" spans="1:8" ht="25.5">
      <c r="A209" s="1" t="s">
        <v>1138</v>
      </c>
      <c r="B209" s="1" t="s">
        <v>1139</v>
      </c>
      <c r="C209" s="1" t="s">
        <v>1139</v>
      </c>
      <c r="D209" s="1" t="s">
        <v>1140</v>
      </c>
      <c r="E209" s="1" t="s">
        <v>585</v>
      </c>
      <c r="F209" s="2" t="s">
        <v>1557</v>
      </c>
      <c r="G209" s="48">
        <v>25</v>
      </c>
      <c r="H209" s="48">
        <f t="shared" si="3"/>
        <v>100</v>
      </c>
    </row>
    <row r="210" spans="1:8" ht="25.5">
      <c r="A210" s="1" t="s">
        <v>1141</v>
      </c>
      <c r="B210" s="1" t="s">
        <v>1139</v>
      </c>
      <c r="C210" s="1" t="s">
        <v>1142</v>
      </c>
      <c r="D210" s="1" t="s">
        <v>1143</v>
      </c>
      <c r="E210" s="1" t="s">
        <v>585</v>
      </c>
      <c r="F210" s="2" t="s">
        <v>8</v>
      </c>
      <c r="G210" s="48">
        <v>25</v>
      </c>
      <c r="H210" s="48">
        <f t="shared" si="3"/>
        <v>25</v>
      </c>
    </row>
    <row r="211" spans="1:8" ht="51">
      <c r="A211" s="1" t="s">
        <v>1144</v>
      </c>
      <c r="B211" s="1" t="s">
        <v>1139</v>
      </c>
      <c r="C211" s="1" t="s">
        <v>1139</v>
      </c>
      <c r="D211" s="1" t="s">
        <v>1145</v>
      </c>
      <c r="E211" s="1" t="s">
        <v>13</v>
      </c>
      <c r="F211" s="2" t="s">
        <v>8</v>
      </c>
      <c r="G211" s="48">
        <v>100</v>
      </c>
      <c r="H211" s="48">
        <f t="shared" si="3"/>
        <v>100</v>
      </c>
    </row>
    <row r="212" spans="1:8" ht="51">
      <c r="A212" s="1" t="s">
        <v>1146</v>
      </c>
      <c r="B212" s="1" t="s">
        <v>1147</v>
      </c>
      <c r="C212" s="1" t="s">
        <v>1139</v>
      </c>
      <c r="D212" s="1" t="s">
        <v>1148</v>
      </c>
      <c r="E212" s="1" t="s">
        <v>585</v>
      </c>
      <c r="F212" s="2" t="s">
        <v>1557</v>
      </c>
      <c r="G212" s="48">
        <v>50</v>
      </c>
      <c r="H212" s="48">
        <f t="shared" si="3"/>
        <v>200</v>
      </c>
    </row>
    <row r="213" spans="1:8" ht="25.5">
      <c r="A213" s="1" t="s">
        <v>1149</v>
      </c>
      <c r="B213" s="1" t="s">
        <v>1147</v>
      </c>
      <c r="C213" s="1" t="s">
        <v>1142</v>
      </c>
      <c r="D213" s="1" t="s">
        <v>1150</v>
      </c>
      <c r="E213" s="1" t="s">
        <v>585</v>
      </c>
      <c r="F213" s="2" t="s">
        <v>1557</v>
      </c>
      <c r="G213" s="48">
        <v>10</v>
      </c>
      <c r="H213" s="48">
        <f t="shared" si="3"/>
        <v>40</v>
      </c>
    </row>
    <row r="214" spans="1:8" ht="25.5">
      <c r="A214" s="1" t="s">
        <v>1151</v>
      </c>
      <c r="B214" s="1" t="s">
        <v>1147</v>
      </c>
      <c r="C214" s="1" t="s">
        <v>1152</v>
      </c>
      <c r="D214" s="1" t="s">
        <v>1153</v>
      </c>
      <c r="E214" s="1" t="s">
        <v>585</v>
      </c>
      <c r="F214" s="2" t="s">
        <v>8</v>
      </c>
      <c r="G214" s="48">
        <v>50</v>
      </c>
      <c r="H214" s="48">
        <f t="shared" si="3"/>
        <v>50</v>
      </c>
    </row>
    <row r="215" spans="1:8" ht="51">
      <c r="A215" s="1" t="s">
        <v>1154</v>
      </c>
      <c r="B215" s="1" t="s">
        <v>1147</v>
      </c>
      <c r="C215" s="1" t="s">
        <v>931</v>
      </c>
      <c r="D215" s="1" t="s">
        <v>1155</v>
      </c>
      <c r="E215" s="1" t="s">
        <v>13</v>
      </c>
      <c r="F215" s="2" t="s">
        <v>8</v>
      </c>
      <c r="G215" s="48">
        <v>75</v>
      </c>
      <c r="H215" s="48">
        <f t="shared" si="3"/>
        <v>75</v>
      </c>
    </row>
    <row r="216" spans="1:8" ht="38.25">
      <c r="A216" s="1" t="s">
        <v>1156</v>
      </c>
      <c r="B216" s="1" t="s">
        <v>1147</v>
      </c>
      <c r="C216" s="1" t="s">
        <v>1157</v>
      </c>
      <c r="D216" s="1" t="s">
        <v>1158</v>
      </c>
      <c r="E216" s="1" t="s">
        <v>13</v>
      </c>
      <c r="F216" s="2" t="s">
        <v>8</v>
      </c>
      <c r="G216" s="48">
        <v>50</v>
      </c>
      <c r="H216" s="48">
        <f t="shared" si="3"/>
        <v>50</v>
      </c>
    </row>
    <row r="217" spans="1:8" ht="63.75">
      <c r="A217" s="1" t="s">
        <v>1159</v>
      </c>
      <c r="B217" s="1" t="s">
        <v>1147</v>
      </c>
      <c r="C217" s="1" t="s">
        <v>1160</v>
      </c>
      <c r="D217" s="1" t="s">
        <v>1161</v>
      </c>
      <c r="E217" s="1" t="s">
        <v>13</v>
      </c>
      <c r="F217" s="2" t="s">
        <v>8</v>
      </c>
      <c r="G217" s="48">
        <v>50</v>
      </c>
      <c r="H217" s="48">
        <f t="shared" si="3"/>
        <v>50</v>
      </c>
    </row>
    <row r="218" spans="1:8" ht="38.25">
      <c r="A218" s="1" t="s">
        <v>1162</v>
      </c>
      <c r="B218" s="1" t="s">
        <v>1166</v>
      </c>
      <c r="C218" s="1" t="s">
        <v>1167</v>
      </c>
      <c r="D218" s="1" t="s">
        <v>1168</v>
      </c>
      <c r="E218" s="1" t="s">
        <v>333</v>
      </c>
      <c r="F218" s="2" t="s">
        <v>8</v>
      </c>
      <c r="G218" s="48">
        <v>100</v>
      </c>
      <c r="H218" s="48">
        <f t="shared" si="3"/>
        <v>100</v>
      </c>
    </row>
    <row r="219" spans="1:8" ht="38.25">
      <c r="A219" s="1" t="s">
        <v>1165</v>
      </c>
      <c r="B219" s="1" t="s">
        <v>1166</v>
      </c>
      <c r="C219" s="1" t="s">
        <v>1167</v>
      </c>
      <c r="D219" s="1" t="s">
        <v>1170</v>
      </c>
      <c r="E219" s="1" t="s">
        <v>13</v>
      </c>
      <c r="F219" s="2" t="s">
        <v>8</v>
      </c>
      <c r="G219" s="48">
        <v>0</v>
      </c>
      <c r="H219" s="48">
        <f t="shared" si="3"/>
        <v>0</v>
      </c>
    </row>
    <row r="220" spans="1:8" ht="38.25">
      <c r="A220" s="1" t="s">
        <v>1169</v>
      </c>
      <c r="B220" s="1" t="s">
        <v>1166</v>
      </c>
      <c r="C220" s="1" t="s">
        <v>928</v>
      </c>
      <c r="D220" s="1" t="s">
        <v>1172</v>
      </c>
      <c r="E220" s="1" t="s">
        <v>585</v>
      </c>
      <c r="F220" s="2" t="s">
        <v>1557</v>
      </c>
      <c r="G220" s="48">
        <v>10</v>
      </c>
      <c r="H220" s="48">
        <f t="shared" si="3"/>
        <v>40</v>
      </c>
    </row>
    <row r="221" spans="1:8" ht="38.25">
      <c r="A221" s="1" t="s">
        <v>1171</v>
      </c>
      <c r="B221" s="1" t="s">
        <v>1166</v>
      </c>
      <c r="C221" s="1" t="s">
        <v>928</v>
      </c>
      <c r="D221" s="1" t="s">
        <v>1174</v>
      </c>
      <c r="E221" s="1" t="s">
        <v>585</v>
      </c>
      <c r="F221" s="2" t="s">
        <v>1553</v>
      </c>
      <c r="G221" s="48">
        <v>50</v>
      </c>
      <c r="H221" s="48">
        <f t="shared" si="3"/>
        <v>100</v>
      </c>
    </row>
    <row r="222" spans="1:8" ht="38.25">
      <c r="A222" s="1" t="s">
        <v>1173</v>
      </c>
      <c r="B222" s="1" t="s">
        <v>1166</v>
      </c>
      <c r="C222" s="1" t="s">
        <v>928</v>
      </c>
      <c r="D222" s="1" t="s">
        <v>1176</v>
      </c>
      <c r="E222" s="1" t="s">
        <v>585</v>
      </c>
      <c r="F222" s="2" t="s">
        <v>1553</v>
      </c>
      <c r="G222" s="48">
        <v>75</v>
      </c>
      <c r="H222" s="48">
        <f t="shared" si="3"/>
        <v>150</v>
      </c>
    </row>
    <row r="223" spans="1:8" ht="38.25">
      <c r="A223" s="1" t="s">
        <v>1175</v>
      </c>
      <c r="B223" s="1" t="s">
        <v>1166</v>
      </c>
      <c r="C223" s="1" t="s">
        <v>1178</v>
      </c>
      <c r="D223" s="1" t="s">
        <v>1179</v>
      </c>
      <c r="E223" s="1" t="s">
        <v>585</v>
      </c>
      <c r="F223" s="2" t="s">
        <v>8</v>
      </c>
      <c r="G223" s="48">
        <v>100</v>
      </c>
      <c r="H223" s="48">
        <f t="shared" si="3"/>
        <v>100</v>
      </c>
    </row>
    <row r="224" spans="1:8" ht="38.25">
      <c r="A224" s="1" t="s">
        <v>1177</v>
      </c>
      <c r="B224" s="1" t="s">
        <v>1166</v>
      </c>
      <c r="C224" s="1" t="s">
        <v>1166</v>
      </c>
      <c r="D224" s="1" t="s">
        <v>1181</v>
      </c>
      <c r="E224" s="1" t="s">
        <v>585</v>
      </c>
      <c r="F224" s="2" t="s">
        <v>8</v>
      </c>
      <c r="G224" s="48">
        <v>50</v>
      </c>
      <c r="H224" s="48">
        <f t="shared" si="3"/>
        <v>50</v>
      </c>
    </row>
    <row r="225" spans="1:9" ht="63.75">
      <c r="A225" s="1" t="s">
        <v>1180</v>
      </c>
      <c r="B225" s="1" t="s">
        <v>1166</v>
      </c>
      <c r="C225" s="1" t="s">
        <v>1167</v>
      </c>
      <c r="D225" s="1" t="s">
        <v>1183</v>
      </c>
      <c r="E225" s="1" t="s">
        <v>13</v>
      </c>
      <c r="F225" s="2" t="s">
        <v>8</v>
      </c>
      <c r="G225" s="48">
        <v>0</v>
      </c>
      <c r="H225" s="48">
        <f t="shared" si="3"/>
        <v>0</v>
      </c>
    </row>
    <row r="226" spans="1:9" ht="76.5">
      <c r="A226" s="1" t="s">
        <v>1182</v>
      </c>
      <c r="B226" s="1" t="s">
        <v>1195</v>
      </c>
      <c r="C226" s="1" t="s">
        <v>577</v>
      </c>
      <c r="D226" s="1" t="s">
        <v>1196</v>
      </c>
      <c r="E226" s="1" t="s">
        <v>13</v>
      </c>
      <c r="F226" s="2" t="s">
        <v>8</v>
      </c>
      <c r="G226" s="48">
        <v>0</v>
      </c>
      <c r="H226" s="48">
        <f t="shared" si="3"/>
        <v>0</v>
      </c>
    </row>
    <row r="227" spans="1:9" ht="51">
      <c r="A227" s="1" t="s">
        <v>1184</v>
      </c>
      <c r="B227" s="1" t="s">
        <v>1195</v>
      </c>
      <c r="C227" s="1" t="s">
        <v>577</v>
      </c>
      <c r="D227" s="1" t="s">
        <v>979</v>
      </c>
      <c r="E227" s="1" t="s">
        <v>13</v>
      </c>
      <c r="F227" s="2" t="s">
        <v>8</v>
      </c>
      <c r="G227" s="48">
        <v>0</v>
      </c>
      <c r="H227" s="48">
        <f t="shared" si="3"/>
        <v>0</v>
      </c>
    </row>
    <row r="228" spans="1:9" ht="51">
      <c r="A228" s="1" t="s">
        <v>1188</v>
      </c>
      <c r="B228" s="1" t="s">
        <v>1195</v>
      </c>
      <c r="C228" s="1" t="s">
        <v>577</v>
      </c>
      <c r="D228" s="1" t="s">
        <v>1199</v>
      </c>
      <c r="E228" s="1" t="s">
        <v>13</v>
      </c>
      <c r="F228" s="2" t="s">
        <v>8</v>
      </c>
      <c r="G228" s="48">
        <v>0</v>
      </c>
      <c r="H228" s="48">
        <f t="shared" si="3"/>
        <v>0</v>
      </c>
    </row>
    <row r="229" spans="1:9" ht="51">
      <c r="A229" s="1" t="s">
        <v>1191</v>
      </c>
      <c r="B229" s="1" t="s">
        <v>1195</v>
      </c>
      <c r="C229" s="1" t="s">
        <v>577</v>
      </c>
      <c r="D229" s="1" t="s">
        <v>983</v>
      </c>
      <c r="E229" s="1" t="s">
        <v>13</v>
      </c>
      <c r="F229" s="2" t="s">
        <v>8</v>
      </c>
      <c r="G229" s="48">
        <v>0</v>
      </c>
      <c r="H229" s="48">
        <f t="shared" si="3"/>
        <v>0</v>
      </c>
    </row>
    <row r="230" spans="1:9" ht="51.75" thickBot="1">
      <c r="A230" s="41" t="s">
        <v>1194</v>
      </c>
      <c r="B230" s="41" t="s">
        <v>1195</v>
      </c>
      <c r="C230" s="41" t="s">
        <v>577</v>
      </c>
      <c r="D230" s="41" t="s">
        <v>1202</v>
      </c>
      <c r="E230" s="41" t="s">
        <v>13</v>
      </c>
      <c r="F230" s="42" t="s">
        <v>8</v>
      </c>
      <c r="G230" s="51">
        <v>0</v>
      </c>
      <c r="H230" s="48">
        <f t="shared" si="3"/>
        <v>0</v>
      </c>
      <c r="I230" s="70">
        <f>SUM(H202:H230)</f>
        <v>1707</v>
      </c>
    </row>
    <row r="231" spans="1:9" ht="24" customHeight="1" thickBot="1">
      <c r="A231" s="103" t="s">
        <v>1716</v>
      </c>
      <c r="B231" s="104"/>
      <c r="C231" s="104"/>
      <c r="D231" s="104"/>
      <c r="E231" s="104"/>
      <c r="F231" s="104"/>
      <c r="G231" s="105"/>
      <c r="H231" s="65">
        <f>SUM(H2:H230)</f>
        <v>79997</v>
      </c>
      <c r="I231" s="71"/>
    </row>
    <row r="232" spans="1:9" ht="19.5" customHeight="1" thickBot="1">
      <c r="A232" s="103" t="s">
        <v>1705</v>
      </c>
      <c r="B232" s="104"/>
      <c r="C232" s="104"/>
      <c r="D232" s="104"/>
      <c r="E232" s="104"/>
      <c r="F232" s="104"/>
      <c r="G232" s="105"/>
      <c r="H232" s="65">
        <f>H231*3</f>
        <v>239991</v>
      </c>
    </row>
    <row r="233" spans="1:9">
      <c r="G233" s="98"/>
      <c r="H233" s="98"/>
    </row>
  </sheetData>
  <mergeCells count="3">
    <mergeCell ref="A231:G231"/>
    <mergeCell ref="G233:H233"/>
    <mergeCell ref="A232:G232"/>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E18"/>
  <sheetViews>
    <sheetView tabSelected="1" zoomScaleNormal="100" workbookViewId="0">
      <selection activeCell="C14" sqref="C14"/>
    </sheetView>
  </sheetViews>
  <sheetFormatPr defaultRowHeight="12.75"/>
  <cols>
    <col min="1" max="1" width="9.5703125" style="10" customWidth="1"/>
    <col min="2" max="2" width="76.28515625" style="10" customWidth="1"/>
    <col min="3" max="3" width="31.5703125" style="10" customWidth="1"/>
    <col min="5" max="5" width="23.7109375" customWidth="1"/>
  </cols>
  <sheetData>
    <row r="1" spans="1:5" ht="19.5" customHeight="1">
      <c r="A1" s="112" t="s">
        <v>1530</v>
      </c>
      <c r="B1" s="113"/>
      <c r="C1" s="113"/>
    </row>
    <row r="2" spans="1:5" ht="15.75" customHeight="1">
      <c r="A2" s="114" t="s">
        <v>1531</v>
      </c>
      <c r="B2" s="114"/>
      <c r="C2" s="114"/>
    </row>
    <row r="3" spans="1:5" ht="15.75" customHeight="1">
      <c r="A3" s="114" t="s">
        <v>1532</v>
      </c>
      <c r="B3" s="114"/>
      <c r="C3" s="114"/>
    </row>
    <row r="4" spans="1:5" ht="15.75" customHeight="1">
      <c r="A4" s="114" t="s">
        <v>1533</v>
      </c>
      <c r="B4" s="114"/>
      <c r="C4" s="114"/>
    </row>
    <row r="5" spans="1:5" s="10" customFormat="1" ht="30.6" customHeight="1">
      <c r="A5" s="6" t="s">
        <v>1534</v>
      </c>
      <c r="B5" s="6" t="s">
        <v>1535</v>
      </c>
      <c r="C5" s="7" t="s">
        <v>1536</v>
      </c>
    </row>
    <row r="6" spans="1:5" s="10" customFormat="1" ht="29.25" customHeight="1">
      <c r="A6" s="8">
        <v>1</v>
      </c>
      <c r="B6" s="9" t="s">
        <v>1537</v>
      </c>
      <c r="C6" s="72">
        <f>'01 Preliminaries'!G117</f>
        <v>227580</v>
      </c>
    </row>
    <row r="7" spans="1:5" s="10" customFormat="1" ht="29.25" customHeight="1">
      <c r="A7" s="8">
        <v>2</v>
      </c>
      <c r="B7" s="9" t="s">
        <v>1538</v>
      </c>
      <c r="C7" s="72">
        <f>'02 Dayworks'!G117</f>
        <v>88252.5</v>
      </c>
      <c r="E7" s="11"/>
    </row>
    <row r="8" spans="1:5" s="12" customFormat="1" ht="29.25" customHeight="1">
      <c r="A8" s="20">
        <v>3</v>
      </c>
      <c r="B8" s="61" t="s">
        <v>1708</v>
      </c>
      <c r="C8" s="73">
        <f>'[1]BILL NO-3 PROVISIONAL SUM'!H9</f>
        <v>200000</v>
      </c>
    </row>
    <row r="9" spans="1:5" s="10" customFormat="1" ht="29.25" customHeight="1">
      <c r="A9" s="8">
        <v>4</v>
      </c>
      <c r="B9" s="44" t="s">
        <v>1709</v>
      </c>
      <c r="C9" s="72">
        <f>'03 Housing Units'!G298</f>
        <v>1965370.9400000002</v>
      </c>
      <c r="E9" s="11"/>
    </row>
    <row r="10" spans="1:5" s="10" customFormat="1" ht="29.25" customHeight="1">
      <c r="A10" s="8">
        <v>5</v>
      </c>
      <c r="B10" s="44" t="s">
        <v>1710</v>
      </c>
      <c r="C10" s="72">
        <f>'04  External Works'!G13</f>
        <v>28455</v>
      </c>
    </row>
    <row r="11" spans="1:5" s="10" customFormat="1" ht="32.25" customHeight="1">
      <c r="A11" s="8">
        <v>6</v>
      </c>
      <c r="B11" s="44" t="s">
        <v>1711</v>
      </c>
      <c r="C11" s="72">
        <f>'05 Existing Housing Units-29'!H92</f>
        <v>1436308.6500000004</v>
      </c>
    </row>
    <row r="12" spans="1:5" s="10" customFormat="1" ht="29.25" customHeight="1">
      <c r="A12" s="21">
        <v>7</v>
      </c>
      <c r="B12" s="44" t="s">
        <v>1713</v>
      </c>
      <c r="C12" s="72">
        <f>'06 Storm Water'!H44</f>
        <v>265674.67499999999</v>
      </c>
    </row>
    <row r="13" spans="1:5" s="10" customFormat="1" ht="29.25" customHeight="1">
      <c r="A13" s="21">
        <v>8</v>
      </c>
      <c r="B13" s="62" t="s">
        <v>1712</v>
      </c>
      <c r="C13" s="72">
        <f>'07  Housing Units 3 Nos'!H232</f>
        <v>239991</v>
      </c>
      <c r="E13" s="68"/>
    </row>
    <row r="14" spans="1:5" s="10" customFormat="1" ht="31.5" customHeight="1">
      <c r="A14" s="22">
        <v>9</v>
      </c>
      <c r="B14" s="19" t="s">
        <v>1714</v>
      </c>
      <c r="C14" s="72">
        <f>SUM(C9:C13)*10%</f>
        <v>393580.02650000009</v>
      </c>
      <c r="E14" s="67"/>
    </row>
    <row r="15" spans="1:5" s="13" customFormat="1" ht="29.25" customHeight="1">
      <c r="A15" s="106" t="s">
        <v>1539</v>
      </c>
      <c r="B15" s="107"/>
      <c r="C15" s="74">
        <f>SUM(C6:C14)</f>
        <v>4845212.7915000003</v>
      </c>
    </row>
    <row r="16" spans="1:5" s="10" customFormat="1" ht="32.65" customHeight="1">
      <c r="A16" s="108" t="s">
        <v>1540</v>
      </c>
      <c r="B16" s="109"/>
      <c r="C16" s="75"/>
    </row>
    <row r="17" spans="1:5" s="10" customFormat="1" ht="29.25" customHeight="1">
      <c r="A17" s="110" t="s">
        <v>1539</v>
      </c>
      <c r="B17" s="111"/>
      <c r="C17" s="76">
        <f>C15</f>
        <v>4845212.7915000003</v>
      </c>
      <c r="E17" s="11"/>
    </row>
    <row r="18" spans="1:5">
      <c r="C18" s="77"/>
    </row>
  </sheetData>
  <mergeCells count="7">
    <mergeCell ref="A15:B15"/>
    <mergeCell ref="A16:B16"/>
    <mergeCell ref="A17:B17"/>
    <mergeCell ref="A1:C1"/>
    <mergeCell ref="A2:C2"/>
    <mergeCell ref="A3:C3"/>
    <mergeCell ref="A4:C4"/>
  </mergeCells>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E18:E23"/>
  <sheetViews>
    <sheetView workbookViewId="0">
      <selection activeCell="E24" sqref="E24"/>
    </sheetView>
  </sheetViews>
  <sheetFormatPr defaultRowHeight="12.75"/>
  <cols>
    <col min="5" max="5" width="36.7109375" customWidth="1"/>
  </cols>
  <sheetData>
    <row r="18" spans="5:5">
      <c r="E18">
        <v>1965370.94</v>
      </c>
    </row>
    <row r="19" spans="5:5">
      <c r="E19">
        <v>28455</v>
      </c>
    </row>
    <row r="20" spans="5:5">
      <c r="E20">
        <v>1577721.6</v>
      </c>
    </row>
    <row r="21" spans="5:5">
      <c r="E21">
        <v>265674.67499999999</v>
      </c>
    </row>
    <row r="22" spans="5:5">
      <c r="E22" s="54">
        <f>SUM(E18:E21)</f>
        <v>3837222.2149999999</v>
      </c>
    </row>
    <row r="23" spans="5:5">
      <c r="E23">
        <f>E22*0.1</f>
        <v>383722.22149999999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01 Preliminaries</vt:lpstr>
      <vt:lpstr>02 Dayworks</vt:lpstr>
      <vt:lpstr>03 Housing Units</vt:lpstr>
      <vt:lpstr>04  External Works</vt:lpstr>
      <vt:lpstr>05 Existing Housing Units-29</vt:lpstr>
      <vt:lpstr>06 Storm Water</vt:lpstr>
      <vt:lpstr>07  Housing Units 3 Nos</vt:lpstr>
      <vt:lpstr>Grand Summary</vt:lpstr>
      <vt:lpstr>Sheet1</vt:lpstr>
      <vt:lpstr>'01 Preliminaries'!Print_Area</vt:lpstr>
      <vt:lpstr>'02 Dayworks'!Print_Area</vt:lpstr>
      <vt:lpstr>'03 Housing Units'!Print_Area</vt:lpstr>
      <vt:lpstr>'04  External Works'!Print_Area</vt:lpstr>
      <vt:lpstr>'01 Preliminaries'!Print_Titles</vt:lpstr>
      <vt:lpstr>'02 Dayworks'!Print_Titles</vt:lpstr>
      <vt:lpstr>'03 Housing Units'!Print_Titles</vt:lpstr>
      <vt:lpstr>'04  External Works'!Print_Titles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Mohammed Hubais</dc:creator>
  <cp:keywords/>
  <dc:description/>
  <cp:lastModifiedBy>Muhammad Ahmed</cp:lastModifiedBy>
  <cp:lastPrinted>2024-01-06T09:05:06Z</cp:lastPrinted>
  <dcterms:created xsi:type="dcterms:W3CDTF">2024-01-20T13:08:43Z</dcterms:created>
  <dcterms:modified xsi:type="dcterms:W3CDTF">2024-11-13T09:39:24Z</dcterms:modified>
  <cp:category/>
</cp:coreProperties>
</file>